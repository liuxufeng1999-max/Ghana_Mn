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liu.7133\Dropbox\Ghana Illegal Mining\04_Data\Water_Sampling\Original Data\"/>
    </mc:Choice>
  </mc:AlternateContent>
  <xr:revisionPtr revIDLastSave="0" documentId="13_ncr:1_{AC06E8B7-7619-4F64-98F6-3F1B8335A92D}" xr6:coauthVersionLast="47" xr6:coauthVersionMax="47" xr10:uidLastSave="{00000000-0000-0000-0000-000000000000}"/>
  <bookViews>
    <workbookView xWindow="28680" yWindow="-120" windowWidth="29040" windowHeight="15720" xr2:uid="{798F4BB4-9FB5-4480-A70E-0FEB08416C43}"/>
  </bookViews>
  <sheets>
    <sheet name="To_be_Merged_Stata" sheetId="6" r:id="rId1"/>
    <sheet name="ID_Log" sheetId="1" r:id="rId2"/>
    <sheet name="ID_LEGEND" sheetId="2" r:id="rId3"/>
    <sheet name="WHO Limit" sheetId="3" r:id="rId4"/>
    <sheet name="EPA Enforceable Limit" sheetId="4" r:id="rId5"/>
    <sheet name="EPA Secondary Limit"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1" l="1"/>
  <c r="Z6" i="1"/>
  <c r="AA6" i="1"/>
  <c r="AB6" i="1"/>
  <c r="AC6" i="1"/>
  <c r="AD6" i="1"/>
  <c r="AE6" i="1"/>
  <c r="AF6" i="1"/>
  <c r="AG6" i="1"/>
  <c r="AH6" i="1"/>
  <c r="Y7" i="1"/>
  <c r="Z7" i="1"/>
  <c r="Z3" i="1" s="1"/>
  <c r="AA7" i="1"/>
  <c r="AB7" i="1"/>
  <c r="AC7" i="1"/>
  <c r="AD7" i="1"/>
  <c r="AE7" i="1"/>
  <c r="AF7" i="1"/>
  <c r="AG7" i="1"/>
  <c r="AH7" i="1"/>
  <c r="Y8" i="1"/>
  <c r="Z8" i="1"/>
  <c r="AA8" i="1"/>
  <c r="AB8" i="1"/>
  <c r="AC8" i="1"/>
  <c r="AD8" i="1"/>
  <c r="AE8" i="1"/>
  <c r="AF8" i="1"/>
  <c r="AG8" i="1"/>
  <c r="AH8" i="1"/>
  <c r="Y9" i="1"/>
  <c r="Z9" i="1"/>
  <c r="AA9" i="1"/>
  <c r="AB9" i="1"/>
  <c r="AC9" i="1"/>
  <c r="AD9" i="1"/>
  <c r="AD3" i="1" s="1"/>
  <c r="AE9" i="1"/>
  <c r="AF9" i="1"/>
  <c r="AG9" i="1"/>
  <c r="AH9" i="1"/>
  <c r="Y10" i="1"/>
  <c r="Z10" i="1"/>
  <c r="AA10" i="1"/>
  <c r="AB10" i="1"/>
  <c r="AC10" i="1"/>
  <c r="AD10" i="1"/>
  <c r="AE10" i="1"/>
  <c r="AF10" i="1"/>
  <c r="AG10" i="1"/>
  <c r="AH10" i="1"/>
  <c r="Y11" i="1"/>
  <c r="Z11" i="1"/>
  <c r="AA11" i="1"/>
  <c r="AB11" i="1"/>
  <c r="AC11" i="1"/>
  <c r="AD11" i="1"/>
  <c r="AE11" i="1"/>
  <c r="AF11" i="1"/>
  <c r="AG11" i="1"/>
  <c r="AH11" i="1"/>
  <c r="Y12" i="1"/>
  <c r="Z12" i="1"/>
  <c r="AA12" i="1"/>
  <c r="AB12" i="1"/>
  <c r="AC12" i="1"/>
  <c r="AD12" i="1"/>
  <c r="AE12" i="1"/>
  <c r="AF12" i="1"/>
  <c r="AG12" i="1"/>
  <c r="AH12" i="1"/>
  <c r="Y13" i="1"/>
  <c r="Z13" i="1"/>
  <c r="AA13" i="1"/>
  <c r="AB13" i="1"/>
  <c r="AC13" i="1"/>
  <c r="AD13" i="1"/>
  <c r="AE13" i="1"/>
  <c r="AF13" i="1"/>
  <c r="AG13" i="1"/>
  <c r="AH13" i="1"/>
  <c r="Y14" i="1"/>
  <c r="Z14" i="1"/>
  <c r="AA14" i="1"/>
  <c r="AB14" i="1"/>
  <c r="AC14" i="1"/>
  <c r="AD14" i="1"/>
  <c r="AE14" i="1"/>
  <c r="AF14" i="1"/>
  <c r="AG14" i="1"/>
  <c r="AH14" i="1"/>
  <c r="Y15" i="1"/>
  <c r="Z15" i="1"/>
  <c r="AA15" i="1"/>
  <c r="AB15" i="1"/>
  <c r="AC15" i="1"/>
  <c r="AC3" i="1" s="1"/>
  <c r="AD15" i="1"/>
  <c r="AE15" i="1"/>
  <c r="AF15" i="1"/>
  <c r="AG15" i="1"/>
  <c r="AH15" i="1"/>
  <c r="Y16" i="1"/>
  <c r="Z16" i="1"/>
  <c r="AA16" i="1"/>
  <c r="AB16" i="1"/>
  <c r="AC16" i="1"/>
  <c r="AD16" i="1"/>
  <c r="AE16" i="1"/>
  <c r="AF16" i="1"/>
  <c r="AG16" i="1"/>
  <c r="AH16" i="1"/>
  <c r="Y17" i="1"/>
  <c r="Z17" i="1"/>
  <c r="AA17" i="1"/>
  <c r="AB17" i="1"/>
  <c r="AC17" i="1"/>
  <c r="AD17" i="1"/>
  <c r="AE17" i="1"/>
  <c r="AF17" i="1"/>
  <c r="AG17" i="1"/>
  <c r="AH17" i="1"/>
  <c r="Y18" i="1"/>
  <c r="Z18" i="1"/>
  <c r="AA18" i="1"/>
  <c r="AB18" i="1"/>
  <c r="AC18" i="1"/>
  <c r="AD18" i="1"/>
  <c r="AE18" i="1"/>
  <c r="AF18" i="1"/>
  <c r="AG18" i="1"/>
  <c r="AH18" i="1"/>
  <c r="Y19" i="1"/>
  <c r="Z19" i="1"/>
  <c r="AA19" i="1"/>
  <c r="AB19" i="1"/>
  <c r="AC19" i="1"/>
  <c r="AD19" i="1"/>
  <c r="AE19" i="1"/>
  <c r="AF19" i="1"/>
  <c r="AG19" i="1"/>
  <c r="AH19" i="1"/>
  <c r="Y20" i="1"/>
  <c r="Z20" i="1"/>
  <c r="AA20" i="1"/>
  <c r="AB20" i="1"/>
  <c r="AC20" i="1"/>
  <c r="AD20" i="1"/>
  <c r="AE20" i="1"/>
  <c r="AF20" i="1"/>
  <c r="AG20" i="1"/>
  <c r="AH20" i="1"/>
  <c r="Y21" i="1"/>
  <c r="Z21" i="1"/>
  <c r="AA21" i="1"/>
  <c r="AB21" i="1"/>
  <c r="AC21" i="1"/>
  <c r="AD21" i="1"/>
  <c r="AE21" i="1"/>
  <c r="AF21" i="1"/>
  <c r="AG21" i="1"/>
  <c r="AH21" i="1"/>
  <c r="Y22" i="1"/>
  <c r="Z22" i="1"/>
  <c r="AA22" i="1"/>
  <c r="AB22" i="1"/>
  <c r="AC22" i="1"/>
  <c r="AD22" i="1"/>
  <c r="AE22" i="1"/>
  <c r="AF22" i="1"/>
  <c r="AG22" i="1"/>
  <c r="AH22" i="1"/>
  <c r="Y23" i="1"/>
  <c r="Z23" i="1"/>
  <c r="AA23" i="1"/>
  <c r="AB23" i="1"/>
  <c r="AC23" i="1"/>
  <c r="AD23" i="1"/>
  <c r="AE23" i="1"/>
  <c r="AF23" i="1"/>
  <c r="AG23" i="1"/>
  <c r="AH23" i="1"/>
  <c r="Y24" i="1"/>
  <c r="Z24" i="1"/>
  <c r="AA24" i="1"/>
  <c r="AB24" i="1"/>
  <c r="AC24" i="1"/>
  <c r="AD24" i="1"/>
  <c r="AE24" i="1"/>
  <c r="AF24" i="1"/>
  <c r="AG24" i="1"/>
  <c r="AH24" i="1"/>
  <c r="Y25" i="1"/>
  <c r="Z25" i="1"/>
  <c r="AA25" i="1"/>
  <c r="AB25" i="1"/>
  <c r="AC25" i="1"/>
  <c r="AD25" i="1"/>
  <c r="AE25" i="1"/>
  <c r="AF25" i="1"/>
  <c r="AG25" i="1"/>
  <c r="AH25" i="1"/>
  <c r="Y26" i="1"/>
  <c r="Z26" i="1"/>
  <c r="AA26" i="1"/>
  <c r="AB26" i="1"/>
  <c r="AC26" i="1"/>
  <c r="AD26" i="1"/>
  <c r="AE26" i="1"/>
  <c r="AF26" i="1"/>
  <c r="AG26" i="1"/>
  <c r="AH26" i="1"/>
  <c r="Y27" i="1"/>
  <c r="Z27" i="1"/>
  <c r="AA27" i="1"/>
  <c r="AB27" i="1"/>
  <c r="AC27" i="1"/>
  <c r="AD27" i="1"/>
  <c r="AE27" i="1"/>
  <c r="AF27" i="1"/>
  <c r="AG27" i="1"/>
  <c r="AH27" i="1"/>
  <c r="Y28" i="1"/>
  <c r="Z28" i="1"/>
  <c r="AA28" i="1"/>
  <c r="AB28" i="1"/>
  <c r="AC28" i="1"/>
  <c r="AD28" i="1"/>
  <c r="AE28" i="1"/>
  <c r="AF28" i="1"/>
  <c r="AG28" i="1"/>
  <c r="AH28" i="1"/>
  <c r="Y29" i="1"/>
  <c r="Z29" i="1"/>
  <c r="AA29" i="1"/>
  <c r="AB29" i="1"/>
  <c r="AC29" i="1"/>
  <c r="AD29" i="1"/>
  <c r="AE29" i="1"/>
  <c r="AF29" i="1"/>
  <c r="AG29" i="1"/>
  <c r="AH29" i="1"/>
  <c r="Y30" i="1"/>
  <c r="Z30" i="1"/>
  <c r="AA30" i="1"/>
  <c r="AB30" i="1"/>
  <c r="AC30" i="1"/>
  <c r="AD30" i="1"/>
  <c r="AE30" i="1"/>
  <c r="AF30" i="1"/>
  <c r="AG30" i="1"/>
  <c r="AH30" i="1"/>
  <c r="Y31" i="1"/>
  <c r="Z31" i="1"/>
  <c r="AA31" i="1"/>
  <c r="AB31" i="1"/>
  <c r="AC31" i="1"/>
  <c r="AD31" i="1"/>
  <c r="AE31" i="1"/>
  <c r="AF31" i="1"/>
  <c r="AG31" i="1"/>
  <c r="AH31" i="1"/>
  <c r="Y32" i="1"/>
  <c r="Z32" i="1"/>
  <c r="AA32" i="1"/>
  <c r="AB32" i="1"/>
  <c r="AC32" i="1"/>
  <c r="AD32" i="1"/>
  <c r="AE32" i="1"/>
  <c r="AF32" i="1"/>
  <c r="AG32" i="1"/>
  <c r="AH32" i="1"/>
  <c r="Y33" i="1"/>
  <c r="Z33" i="1"/>
  <c r="AA33" i="1"/>
  <c r="AB33" i="1"/>
  <c r="AC33" i="1"/>
  <c r="AD33" i="1"/>
  <c r="AE33" i="1"/>
  <c r="AF33" i="1"/>
  <c r="AG33" i="1"/>
  <c r="AH33" i="1"/>
  <c r="Y34" i="1"/>
  <c r="Z34" i="1"/>
  <c r="AA34" i="1"/>
  <c r="AB34" i="1"/>
  <c r="AC34" i="1"/>
  <c r="AD34" i="1"/>
  <c r="AE34" i="1"/>
  <c r="AF34" i="1"/>
  <c r="AG34" i="1"/>
  <c r="AH34" i="1"/>
  <c r="Y35" i="1"/>
  <c r="Z35" i="1"/>
  <c r="AA35" i="1"/>
  <c r="AB35" i="1"/>
  <c r="AC35" i="1"/>
  <c r="AD35" i="1"/>
  <c r="AE35" i="1"/>
  <c r="AF35" i="1"/>
  <c r="AG35" i="1"/>
  <c r="AH35" i="1"/>
  <c r="Y36" i="1"/>
  <c r="Z36" i="1"/>
  <c r="AA36" i="1"/>
  <c r="AB36" i="1"/>
  <c r="AC36" i="1"/>
  <c r="AD36" i="1"/>
  <c r="AE36" i="1"/>
  <c r="AF36" i="1"/>
  <c r="AG36" i="1"/>
  <c r="AH36" i="1"/>
  <c r="Y37" i="1"/>
  <c r="Z37" i="1"/>
  <c r="AA37" i="1"/>
  <c r="AB37" i="1"/>
  <c r="AC37" i="1"/>
  <c r="AD37" i="1"/>
  <c r="AE37" i="1"/>
  <c r="AF37" i="1"/>
  <c r="AG37" i="1"/>
  <c r="AH37" i="1"/>
  <c r="Y38" i="1"/>
  <c r="Z38" i="1"/>
  <c r="AA38" i="1"/>
  <c r="AB38" i="1"/>
  <c r="AC38" i="1"/>
  <c r="AD38" i="1"/>
  <c r="AE38" i="1"/>
  <c r="AF38" i="1"/>
  <c r="AG38" i="1"/>
  <c r="AH38" i="1"/>
  <c r="Y39" i="1"/>
  <c r="Z39" i="1"/>
  <c r="AA39" i="1"/>
  <c r="AB39" i="1"/>
  <c r="AC39" i="1"/>
  <c r="AD39" i="1"/>
  <c r="AE39" i="1"/>
  <c r="AF39" i="1"/>
  <c r="AG39" i="1"/>
  <c r="AH39" i="1"/>
  <c r="Y40" i="1"/>
  <c r="Z40" i="1"/>
  <c r="AA40" i="1"/>
  <c r="AB40" i="1"/>
  <c r="AC40" i="1"/>
  <c r="AD40" i="1"/>
  <c r="AE40" i="1"/>
  <c r="AF40" i="1"/>
  <c r="AG40" i="1"/>
  <c r="AH40" i="1"/>
  <c r="Y41" i="1"/>
  <c r="Z41" i="1"/>
  <c r="AA41" i="1"/>
  <c r="AB41" i="1"/>
  <c r="AC41" i="1"/>
  <c r="AD41" i="1"/>
  <c r="AE41" i="1"/>
  <c r="AF41" i="1"/>
  <c r="AG41" i="1"/>
  <c r="AH41" i="1"/>
  <c r="Y42" i="1"/>
  <c r="Z42" i="1"/>
  <c r="AA42" i="1"/>
  <c r="AB42" i="1"/>
  <c r="AC42" i="1"/>
  <c r="AD42" i="1"/>
  <c r="AE42" i="1"/>
  <c r="AF42" i="1"/>
  <c r="AG42" i="1"/>
  <c r="AH42" i="1"/>
  <c r="Y43" i="1"/>
  <c r="Z43" i="1"/>
  <c r="AA43" i="1"/>
  <c r="AB43" i="1"/>
  <c r="AC43" i="1"/>
  <c r="AD43" i="1"/>
  <c r="AE43" i="1"/>
  <c r="AF43" i="1"/>
  <c r="AG43" i="1"/>
  <c r="AH43" i="1"/>
  <c r="Y44" i="1"/>
  <c r="Z44" i="1"/>
  <c r="AA44" i="1"/>
  <c r="AB44" i="1"/>
  <c r="AC44" i="1"/>
  <c r="AD44" i="1"/>
  <c r="AE44" i="1"/>
  <c r="AF44" i="1"/>
  <c r="AG44" i="1"/>
  <c r="AH44" i="1"/>
  <c r="Y45" i="1"/>
  <c r="Z45" i="1"/>
  <c r="AA45" i="1"/>
  <c r="AB45" i="1"/>
  <c r="AC45" i="1"/>
  <c r="AD45" i="1"/>
  <c r="AE45" i="1"/>
  <c r="AF45" i="1"/>
  <c r="AG45" i="1"/>
  <c r="AH45" i="1"/>
  <c r="Y46" i="1"/>
  <c r="Z46" i="1"/>
  <c r="AA46" i="1"/>
  <c r="AB46" i="1"/>
  <c r="AC46" i="1"/>
  <c r="AD46" i="1"/>
  <c r="AE46" i="1"/>
  <c r="AF46" i="1"/>
  <c r="AG46" i="1"/>
  <c r="AH46" i="1"/>
  <c r="Y47" i="1"/>
  <c r="Z47" i="1"/>
  <c r="AA47" i="1"/>
  <c r="AB47" i="1"/>
  <c r="AC47" i="1"/>
  <c r="AD47" i="1"/>
  <c r="AE47" i="1"/>
  <c r="AF47" i="1"/>
  <c r="AG47" i="1"/>
  <c r="AH47" i="1"/>
  <c r="Y48" i="1"/>
  <c r="Z48" i="1"/>
  <c r="AA48" i="1"/>
  <c r="AB48" i="1"/>
  <c r="AC48" i="1"/>
  <c r="AD48" i="1"/>
  <c r="AE48" i="1"/>
  <c r="AF48" i="1"/>
  <c r="AG48" i="1"/>
  <c r="AH48" i="1"/>
  <c r="Y49" i="1"/>
  <c r="Z49" i="1"/>
  <c r="AA49" i="1"/>
  <c r="AB49" i="1"/>
  <c r="AC49" i="1"/>
  <c r="AD49" i="1"/>
  <c r="AE49" i="1"/>
  <c r="AF49" i="1"/>
  <c r="AG49" i="1"/>
  <c r="AH49" i="1"/>
  <c r="Y50" i="1"/>
  <c r="Z50" i="1"/>
  <c r="AA50" i="1"/>
  <c r="AB50" i="1"/>
  <c r="AC50" i="1"/>
  <c r="AD50" i="1"/>
  <c r="AE50" i="1"/>
  <c r="AF50" i="1"/>
  <c r="AG50" i="1"/>
  <c r="AH50" i="1"/>
  <c r="Y51" i="1"/>
  <c r="Z51" i="1"/>
  <c r="AA51" i="1"/>
  <c r="AB51" i="1"/>
  <c r="AC51" i="1"/>
  <c r="AD51" i="1"/>
  <c r="AE51" i="1"/>
  <c r="AF51" i="1"/>
  <c r="AG51" i="1"/>
  <c r="AH51" i="1"/>
  <c r="Y52" i="1"/>
  <c r="Z52" i="1"/>
  <c r="AA52" i="1"/>
  <c r="AB52" i="1"/>
  <c r="AC52" i="1"/>
  <c r="AD52" i="1"/>
  <c r="AE52" i="1"/>
  <c r="AF52" i="1"/>
  <c r="AG52" i="1"/>
  <c r="AH52" i="1"/>
  <c r="Y53" i="1"/>
  <c r="Z53" i="1"/>
  <c r="AA53" i="1"/>
  <c r="AB53" i="1"/>
  <c r="AC53" i="1"/>
  <c r="AD53" i="1"/>
  <c r="AE53" i="1"/>
  <c r="AF53" i="1"/>
  <c r="AG53" i="1"/>
  <c r="AH53" i="1"/>
  <c r="Y54" i="1"/>
  <c r="Z54" i="1"/>
  <c r="AA54" i="1"/>
  <c r="AB54" i="1"/>
  <c r="AC54" i="1"/>
  <c r="AD54" i="1"/>
  <c r="AE54" i="1"/>
  <c r="AF54" i="1"/>
  <c r="AG54" i="1"/>
  <c r="AH54" i="1"/>
  <c r="Y55" i="1"/>
  <c r="Z55" i="1"/>
  <c r="AA55" i="1"/>
  <c r="AB55" i="1"/>
  <c r="AC55" i="1"/>
  <c r="AD55" i="1"/>
  <c r="AE55" i="1"/>
  <c r="AF55" i="1"/>
  <c r="AG55" i="1"/>
  <c r="AH55" i="1"/>
  <c r="Y56" i="1"/>
  <c r="Z56" i="1"/>
  <c r="AA56" i="1"/>
  <c r="AB56" i="1"/>
  <c r="AC56" i="1"/>
  <c r="AD56" i="1"/>
  <c r="AE56" i="1"/>
  <c r="AF56" i="1"/>
  <c r="AG56" i="1"/>
  <c r="AH56" i="1"/>
  <c r="Y57" i="1"/>
  <c r="Z57" i="1"/>
  <c r="AA57" i="1"/>
  <c r="AB57" i="1"/>
  <c r="AC57" i="1"/>
  <c r="AD57" i="1"/>
  <c r="AE57" i="1"/>
  <c r="AF57" i="1"/>
  <c r="AG57" i="1"/>
  <c r="AH57" i="1"/>
  <c r="Y58" i="1"/>
  <c r="Z58" i="1"/>
  <c r="AA58" i="1"/>
  <c r="AB58" i="1"/>
  <c r="AC58" i="1"/>
  <c r="AD58" i="1"/>
  <c r="AE58" i="1"/>
  <c r="AF58" i="1"/>
  <c r="AG58" i="1"/>
  <c r="AH58" i="1"/>
  <c r="Y59" i="1"/>
  <c r="Z59" i="1"/>
  <c r="AA59" i="1"/>
  <c r="AB59" i="1"/>
  <c r="AC59" i="1"/>
  <c r="AD59" i="1"/>
  <c r="AE59" i="1"/>
  <c r="AF59" i="1"/>
  <c r="AG59" i="1"/>
  <c r="AH59" i="1"/>
  <c r="Y60" i="1"/>
  <c r="Z60" i="1"/>
  <c r="AA60" i="1"/>
  <c r="AB60" i="1"/>
  <c r="AC60" i="1"/>
  <c r="AD60" i="1"/>
  <c r="AE60" i="1"/>
  <c r="AF60" i="1"/>
  <c r="AG60" i="1"/>
  <c r="AH60" i="1"/>
  <c r="Y63" i="1"/>
  <c r="Z63" i="1"/>
  <c r="AA63" i="1"/>
  <c r="AB63" i="1"/>
  <c r="AC63" i="1"/>
  <c r="AD63" i="1"/>
  <c r="AE63" i="1"/>
  <c r="AF63" i="1"/>
  <c r="AG63" i="1"/>
  <c r="AH63" i="1"/>
  <c r="Y64" i="1"/>
  <c r="Z64" i="1"/>
  <c r="AA64" i="1"/>
  <c r="AB64" i="1"/>
  <c r="AC64" i="1"/>
  <c r="AD64" i="1"/>
  <c r="AE64" i="1"/>
  <c r="AF64" i="1"/>
  <c r="AG64" i="1"/>
  <c r="AH64" i="1"/>
  <c r="Y65" i="1"/>
  <c r="Z65" i="1"/>
  <c r="AA65" i="1"/>
  <c r="AB65" i="1"/>
  <c r="AC65" i="1"/>
  <c r="AD65" i="1"/>
  <c r="AE65" i="1"/>
  <c r="AF65" i="1"/>
  <c r="AG65" i="1"/>
  <c r="AH65" i="1"/>
  <c r="Y66" i="1"/>
  <c r="Z66" i="1"/>
  <c r="AA66" i="1"/>
  <c r="AB66" i="1"/>
  <c r="AC66" i="1"/>
  <c r="AD66" i="1"/>
  <c r="AE66" i="1"/>
  <c r="AF66" i="1"/>
  <c r="AG66" i="1"/>
  <c r="AH66" i="1"/>
  <c r="Y67" i="1"/>
  <c r="Z67" i="1"/>
  <c r="AA67" i="1"/>
  <c r="AB67" i="1"/>
  <c r="AC67" i="1"/>
  <c r="AD67" i="1"/>
  <c r="AE67" i="1"/>
  <c r="AF67" i="1"/>
  <c r="AG67" i="1"/>
  <c r="AH67" i="1"/>
  <c r="Y68" i="1"/>
  <c r="Z68" i="1"/>
  <c r="AA68" i="1"/>
  <c r="AB68" i="1"/>
  <c r="AC68" i="1"/>
  <c r="AD68" i="1"/>
  <c r="AE68" i="1"/>
  <c r="AF68" i="1"/>
  <c r="AG68" i="1"/>
  <c r="AH68" i="1"/>
  <c r="Y69" i="1"/>
  <c r="Z69" i="1"/>
  <c r="AA69" i="1"/>
  <c r="AB69" i="1"/>
  <c r="AC69" i="1"/>
  <c r="AD69" i="1"/>
  <c r="AE69" i="1"/>
  <c r="AF69" i="1"/>
  <c r="AG69" i="1"/>
  <c r="AH69" i="1"/>
  <c r="Y70" i="1"/>
  <c r="Z70" i="1"/>
  <c r="AA70" i="1"/>
  <c r="AB70" i="1"/>
  <c r="AC70" i="1"/>
  <c r="AD70" i="1"/>
  <c r="AE70" i="1"/>
  <c r="AF70" i="1"/>
  <c r="AG70" i="1"/>
  <c r="AH70" i="1"/>
  <c r="Y71" i="1"/>
  <c r="Z71" i="1"/>
  <c r="AA71" i="1"/>
  <c r="AB71" i="1"/>
  <c r="AC71" i="1"/>
  <c r="AD71" i="1"/>
  <c r="AE71" i="1"/>
  <c r="AF71" i="1"/>
  <c r="AG71" i="1"/>
  <c r="AH71" i="1"/>
  <c r="Y72" i="1"/>
  <c r="Z72" i="1"/>
  <c r="AA72" i="1"/>
  <c r="AB72" i="1"/>
  <c r="AC72" i="1"/>
  <c r="AD72" i="1"/>
  <c r="AE72" i="1"/>
  <c r="AF72" i="1"/>
  <c r="AG72" i="1"/>
  <c r="AH72" i="1"/>
  <c r="Y73" i="1"/>
  <c r="Z73" i="1"/>
  <c r="AA73" i="1"/>
  <c r="AB73" i="1"/>
  <c r="AC73" i="1"/>
  <c r="AD73" i="1"/>
  <c r="AE73" i="1"/>
  <c r="AF73" i="1"/>
  <c r="AG73" i="1"/>
  <c r="AH73" i="1"/>
  <c r="Y74" i="1"/>
  <c r="Z74" i="1"/>
  <c r="AA74" i="1"/>
  <c r="AB74" i="1"/>
  <c r="AC74" i="1"/>
  <c r="AD74" i="1"/>
  <c r="AE74" i="1"/>
  <c r="AF74" i="1"/>
  <c r="AG74" i="1"/>
  <c r="AH74" i="1"/>
  <c r="Y75" i="1"/>
  <c r="Z75" i="1"/>
  <c r="AA75" i="1"/>
  <c r="AB75" i="1"/>
  <c r="AC75" i="1"/>
  <c r="AD75" i="1"/>
  <c r="AE75" i="1"/>
  <c r="AF75" i="1"/>
  <c r="AG75" i="1"/>
  <c r="AH75" i="1"/>
  <c r="Y76" i="1"/>
  <c r="Z76" i="1"/>
  <c r="AA76" i="1"/>
  <c r="AB76" i="1"/>
  <c r="AC76" i="1"/>
  <c r="AD76" i="1"/>
  <c r="AE76" i="1"/>
  <c r="AF76" i="1"/>
  <c r="AG76" i="1"/>
  <c r="AH76" i="1"/>
  <c r="Y77" i="1"/>
  <c r="Z77" i="1"/>
  <c r="AA77" i="1"/>
  <c r="AB77" i="1"/>
  <c r="AC77" i="1"/>
  <c r="AD77" i="1"/>
  <c r="AE77" i="1"/>
  <c r="AF77" i="1"/>
  <c r="AG77" i="1"/>
  <c r="AH77" i="1"/>
  <c r="Y78" i="1"/>
  <c r="Z78" i="1"/>
  <c r="AA78" i="1"/>
  <c r="AB78" i="1"/>
  <c r="AC78" i="1"/>
  <c r="AD78" i="1"/>
  <c r="AE78" i="1"/>
  <c r="AF78" i="1"/>
  <c r="AG78" i="1"/>
  <c r="AH78" i="1"/>
  <c r="Y79" i="1"/>
  <c r="Z79" i="1"/>
  <c r="AA79" i="1"/>
  <c r="AB79" i="1"/>
  <c r="AC79" i="1"/>
  <c r="AD79" i="1"/>
  <c r="AE79" i="1"/>
  <c r="AF79" i="1"/>
  <c r="AG79" i="1"/>
  <c r="AH79" i="1"/>
  <c r="Y80" i="1"/>
  <c r="Z80" i="1"/>
  <c r="AA80" i="1"/>
  <c r="AB80" i="1"/>
  <c r="AC80" i="1"/>
  <c r="AD80" i="1"/>
  <c r="AE80" i="1"/>
  <c r="AF80" i="1"/>
  <c r="AG80" i="1"/>
  <c r="AH80" i="1"/>
  <c r="Y81" i="1"/>
  <c r="Z81" i="1"/>
  <c r="AA81" i="1"/>
  <c r="AB81" i="1"/>
  <c r="AC81" i="1"/>
  <c r="AD81" i="1"/>
  <c r="AE81" i="1"/>
  <c r="AF81" i="1"/>
  <c r="AG81" i="1"/>
  <c r="AH81" i="1"/>
  <c r="Y82" i="1"/>
  <c r="Z82" i="1"/>
  <c r="AA82" i="1"/>
  <c r="AB82" i="1"/>
  <c r="AC82" i="1"/>
  <c r="AD82" i="1"/>
  <c r="AE82" i="1"/>
  <c r="AF82" i="1"/>
  <c r="AG82" i="1"/>
  <c r="AH82" i="1"/>
  <c r="Y83" i="1"/>
  <c r="Z83" i="1"/>
  <c r="AA83" i="1"/>
  <c r="AB83" i="1"/>
  <c r="AC83" i="1"/>
  <c r="AD83" i="1"/>
  <c r="AE83" i="1"/>
  <c r="AF83" i="1"/>
  <c r="AG83" i="1"/>
  <c r="AH83" i="1"/>
  <c r="Y84" i="1"/>
  <c r="Z84" i="1"/>
  <c r="AA84" i="1"/>
  <c r="AB84" i="1"/>
  <c r="AC84" i="1"/>
  <c r="AD84" i="1"/>
  <c r="AE84" i="1"/>
  <c r="AF84" i="1"/>
  <c r="AG84" i="1"/>
  <c r="AH84" i="1"/>
  <c r="Y85" i="1"/>
  <c r="Z85" i="1"/>
  <c r="AA85" i="1"/>
  <c r="AB85" i="1"/>
  <c r="AC85" i="1"/>
  <c r="AD85" i="1"/>
  <c r="AE85" i="1"/>
  <c r="AF85" i="1"/>
  <c r="AG85" i="1"/>
  <c r="AH85" i="1"/>
  <c r="Y86" i="1"/>
  <c r="Z86" i="1"/>
  <c r="AA86" i="1"/>
  <c r="AB86" i="1"/>
  <c r="AC86" i="1"/>
  <c r="AD86" i="1"/>
  <c r="AE86" i="1"/>
  <c r="AF86" i="1"/>
  <c r="AG86" i="1"/>
  <c r="AH86" i="1"/>
  <c r="Y87" i="1"/>
  <c r="Z87" i="1"/>
  <c r="AA87" i="1"/>
  <c r="AB87" i="1"/>
  <c r="AC87" i="1"/>
  <c r="AD87" i="1"/>
  <c r="AE87" i="1"/>
  <c r="AF87" i="1"/>
  <c r="AG87" i="1"/>
  <c r="AH87" i="1"/>
  <c r="Y88" i="1"/>
  <c r="Z88" i="1"/>
  <c r="AA88" i="1"/>
  <c r="AB88" i="1"/>
  <c r="AC88" i="1"/>
  <c r="AD88" i="1"/>
  <c r="AE88" i="1"/>
  <c r="AF88" i="1"/>
  <c r="AG88" i="1"/>
  <c r="AH88" i="1"/>
  <c r="Y89" i="1"/>
  <c r="Z89" i="1"/>
  <c r="AA89" i="1"/>
  <c r="AB89" i="1"/>
  <c r="AC89" i="1"/>
  <c r="AD89" i="1"/>
  <c r="AE89" i="1"/>
  <c r="AF89" i="1"/>
  <c r="AG89" i="1"/>
  <c r="AH89" i="1"/>
  <c r="Y90" i="1"/>
  <c r="Z90" i="1"/>
  <c r="AA90" i="1"/>
  <c r="AB90" i="1"/>
  <c r="AC90" i="1"/>
  <c r="AD90" i="1"/>
  <c r="AE90" i="1"/>
  <c r="AF90" i="1"/>
  <c r="AG90" i="1"/>
  <c r="AH90" i="1"/>
  <c r="Y91" i="1"/>
  <c r="Z91" i="1"/>
  <c r="AA91" i="1"/>
  <c r="AB91" i="1"/>
  <c r="AC91" i="1"/>
  <c r="AD91" i="1"/>
  <c r="AE91" i="1"/>
  <c r="AF91" i="1"/>
  <c r="AG91" i="1"/>
  <c r="AH91" i="1"/>
  <c r="Y92" i="1"/>
  <c r="Z92" i="1"/>
  <c r="AA92" i="1"/>
  <c r="AB92" i="1"/>
  <c r="AC92" i="1"/>
  <c r="AD92" i="1"/>
  <c r="AE92" i="1"/>
  <c r="AF92" i="1"/>
  <c r="AG92" i="1"/>
  <c r="AH92" i="1"/>
  <c r="Y93" i="1"/>
  <c r="Z93" i="1"/>
  <c r="AA93" i="1"/>
  <c r="AB93" i="1"/>
  <c r="AC93" i="1"/>
  <c r="AD93" i="1"/>
  <c r="AE93" i="1"/>
  <c r="AF93" i="1"/>
  <c r="AG93" i="1"/>
  <c r="AH93" i="1"/>
  <c r="Y94" i="1"/>
  <c r="Z94" i="1"/>
  <c r="AA94" i="1"/>
  <c r="AB94" i="1"/>
  <c r="AC94" i="1"/>
  <c r="AD94" i="1"/>
  <c r="AE94" i="1"/>
  <c r="AF94" i="1"/>
  <c r="AG94" i="1"/>
  <c r="AH94" i="1"/>
  <c r="Y95" i="1"/>
  <c r="Z95" i="1"/>
  <c r="AA95" i="1"/>
  <c r="AB95" i="1"/>
  <c r="AC95" i="1"/>
  <c r="AD95" i="1"/>
  <c r="AE95" i="1"/>
  <c r="AF95" i="1"/>
  <c r="AG95" i="1"/>
  <c r="AH95" i="1"/>
  <c r="Y96" i="1"/>
  <c r="Z96" i="1"/>
  <c r="AA96" i="1"/>
  <c r="AB96" i="1"/>
  <c r="AC96" i="1"/>
  <c r="AD96" i="1"/>
  <c r="AE96" i="1"/>
  <c r="AF96" i="1"/>
  <c r="AG96" i="1"/>
  <c r="AH96" i="1"/>
  <c r="Y97" i="1"/>
  <c r="Z97" i="1"/>
  <c r="AA97" i="1"/>
  <c r="AB97" i="1"/>
  <c r="AC97" i="1"/>
  <c r="AD97" i="1"/>
  <c r="AE97" i="1"/>
  <c r="AF97" i="1"/>
  <c r="AG97" i="1"/>
  <c r="AH97" i="1"/>
  <c r="Y98" i="1"/>
  <c r="Z98" i="1"/>
  <c r="AA98" i="1"/>
  <c r="AB98" i="1"/>
  <c r="AC98" i="1"/>
  <c r="AD98" i="1"/>
  <c r="AE98" i="1"/>
  <c r="AF98" i="1"/>
  <c r="AG98" i="1"/>
  <c r="AH98" i="1"/>
  <c r="Y99" i="1"/>
  <c r="Z99" i="1"/>
  <c r="AA99" i="1"/>
  <c r="AB99" i="1"/>
  <c r="AC99" i="1"/>
  <c r="AD99" i="1"/>
  <c r="AE99" i="1"/>
  <c r="AF99" i="1"/>
  <c r="AG99" i="1"/>
  <c r="AH99" i="1"/>
  <c r="Y100" i="1"/>
  <c r="Z100" i="1"/>
  <c r="AA100" i="1"/>
  <c r="AB100" i="1"/>
  <c r="AC100" i="1"/>
  <c r="AD100" i="1"/>
  <c r="AE100" i="1"/>
  <c r="AF100" i="1"/>
  <c r="AG100" i="1"/>
  <c r="AH100" i="1"/>
  <c r="Y101" i="1"/>
  <c r="Z101" i="1"/>
  <c r="AA101" i="1"/>
  <c r="AB101" i="1"/>
  <c r="AC101" i="1"/>
  <c r="AD101" i="1"/>
  <c r="AE101" i="1"/>
  <c r="AF101" i="1"/>
  <c r="AG101" i="1"/>
  <c r="AH101" i="1"/>
  <c r="Y102" i="1"/>
  <c r="Z102" i="1"/>
  <c r="AA102" i="1"/>
  <c r="AB102" i="1"/>
  <c r="AC102" i="1"/>
  <c r="AD102" i="1"/>
  <c r="AE102" i="1"/>
  <c r="AF102" i="1"/>
  <c r="AG102" i="1"/>
  <c r="AH102" i="1"/>
  <c r="Y103" i="1"/>
  <c r="Z103" i="1"/>
  <c r="AA103" i="1"/>
  <c r="AB103" i="1"/>
  <c r="AC103" i="1"/>
  <c r="AD103" i="1"/>
  <c r="AE103" i="1"/>
  <c r="AF103" i="1"/>
  <c r="AG103" i="1"/>
  <c r="AH103" i="1"/>
  <c r="Y104" i="1"/>
  <c r="Z104" i="1"/>
  <c r="AA104" i="1"/>
  <c r="AB104" i="1"/>
  <c r="AC104" i="1"/>
  <c r="AD104" i="1"/>
  <c r="AE104" i="1"/>
  <c r="AF104" i="1"/>
  <c r="AG104" i="1"/>
  <c r="AH104" i="1"/>
  <c r="Y105" i="1"/>
  <c r="Z105" i="1"/>
  <c r="AA105" i="1"/>
  <c r="AB105" i="1"/>
  <c r="AC105" i="1"/>
  <c r="AD105" i="1"/>
  <c r="AE105" i="1"/>
  <c r="AF105" i="1"/>
  <c r="AG105" i="1"/>
  <c r="AH105" i="1"/>
  <c r="Y106" i="1"/>
  <c r="Z106" i="1"/>
  <c r="AA106" i="1"/>
  <c r="AB106" i="1"/>
  <c r="AC106" i="1"/>
  <c r="AD106" i="1"/>
  <c r="AE106" i="1"/>
  <c r="AF106" i="1"/>
  <c r="AG106" i="1"/>
  <c r="AH106" i="1"/>
  <c r="Y107" i="1"/>
  <c r="Z107" i="1"/>
  <c r="AA107" i="1"/>
  <c r="AB107" i="1"/>
  <c r="AC107" i="1"/>
  <c r="AD107" i="1"/>
  <c r="AE107" i="1"/>
  <c r="AF107" i="1"/>
  <c r="AG107" i="1"/>
  <c r="AH107" i="1"/>
  <c r="Y108" i="1"/>
  <c r="Z108" i="1"/>
  <c r="AA108" i="1"/>
  <c r="AB108" i="1"/>
  <c r="AC108" i="1"/>
  <c r="AD108" i="1"/>
  <c r="AE108" i="1"/>
  <c r="AF108" i="1"/>
  <c r="AG108" i="1"/>
  <c r="AH108" i="1"/>
  <c r="Y109" i="1"/>
  <c r="Z109" i="1"/>
  <c r="AA109" i="1"/>
  <c r="AB109" i="1"/>
  <c r="AC109" i="1"/>
  <c r="AD109" i="1"/>
  <c r="AE109" i="1"/>
  <c r="AF109" i="1"/>
  <c r="AG109" i="1"/>
  <c r="AH109" i="1"/>
  <c r="Y110" i="1"/>
  <c r="Z110" i="1"/>
  <c r="AA110" i="1"/>
  <c r="AB110" i="1"/>
  <c r="AC110" i="1"/>
  <c r="AD110" i="1"/>
  <c r="AE110" i="1"/>
  <c r="AF110" i="1"/>
  <c r="AG110" i="1"/>
  <c r="AH110" i="1"/>
  <c r="Y111" i="1"/>
  <c r="Z111" i="1"/>
  <c r="AA111" i="1"/>
  <c r="AB111" i="1"/>
  <c r="AC111" i="1"/>
  <c r="AD111" i="1"/>
  <c r="AE111" i="1"/>
  <c r="AF111" i="1"/>
  <c r="AG111" i="1"/>
  <c r="AH111" i="1"/>
  <c r="Y112" i="1"/>
  <c r="Z112" i="1"/>
  <c r="AA112" i="1"/>
  <c r="AB112" i="1"/>
  <c r="AC112" i="1"/>
  <c r="AD112" i="1"/>
  <c r="AE112" i="1"/>
  <c r="AF112" i="1"/>
  <c r="AG112" i="1"/>
  <c r="AH112" i="1"/>
  <c r="Y113" i="1"/>
  <c r="Z113" i="1"/>
  <c r="AA113" i="1"/>
  <c r="AB113" i="1"/>
  <c r="AC113" i="1"/>
  <c r="AD113" i="1"/>
  <c r="AE113" i="1"/>
  <c r="AF113" i="1"/>
  <c r="AG113" i="1"/>
  <c r="AH113" i="1"/>
  <c r="Y114" i="1"/>
  <c r="Z114" i="1"/>
  <c r="AA114" i="1"/>
  <c r="AB114" i="1"/>
  <c r="AC114" i="1"/>
  <c r="AD114" i="1"/>
  <c r="AE114" i="1"/>
  <c r="AF114" i="1"/>
  <c r="AG114" i="1"/>
  <c r="AH114" i="1"/>
  <c r="Y115" i="1"/>
  <c r="Z115" i="1"/>
  <c r="AA115" i="1"/>
  <c r="AB115" i="1"/>
  <c r="AC115" i="1"/>
  <c r="AD115" i="1"/>
  <c r="AE115" i="1"/>
  <c r="AF115" i="1"/>
  <c r="AG115" i="1"/>
  <c r="AH115" i="1"/>
  <c r="Y116" i="1"/>
  <c r="Z116" i="1"/>
  <c r="AA116" i="1"/>
  <c r="AB116" i="1"/>
  <c r="AC116" i="1"/>
  <c r="AD116" i="1"/>
  <c r="AE116" i="1"/>
  <c r="AF116" i="1"/>
  <c r="AG116" i="1"/>
  <c r="AH116" i="1"/>
  <c r="Y117" i="1"/>
  <c r="Z117" i="1"/>
  <c r="AA117" i="1"/>
  <c r="AB117" i="1"/>
  <c r="AC117" i="1"/>
  <c r="AD117" i="1"/>
  <c r="AE117" i="1"/>
  <c r="AF117" i="1"/>
  <c r="AG117" i="1"/>
  <c r="AH117" i="1"/>
  <c r="Y118" i="1"/>
  <c r="Z118" i="1"/>
  <c r="AA118" i="1"/>
  <c r="AB118" i="1"/>
  <c r="AC118" i="1"/>
  <c r="AD118" i="1"/>
  <c r="AE118" i="1"/>
  <c r="AF118" i="1"/>
  <c r="AG118" i="1"/>
  <c r="AH118" i="1"/>
  <c r="Y119" i="1"/>
  <c r="Z119" i="1"/>
  <c r="AA119" i="1"/>
  <c r="AB119" i="1"/>
  <c r="AC119" i="1"/>
  <c r="AD119" i="1"/>
  <c r="AE119" i="1"/>
  <c r="AF119" i="1"/>
  <c r="AG119" i="1"/>
  <c r="AH119" i="1"/>
  <c r="Y120" i="1"/>
  <c r="Z120" i="1"/>
  <c r="AA120" i="1"/>
  <c r="AB120" i="1"/>
  <c r="AC120" i="1"/>
  <c r="AD120" i="1"/>
  <c r="AE120" i="1"/>
  <c r="AF120" i="1"/>
  <c r="AG120" i="1"/>
  <c r="AH120" i="1"/>
  <c r="Y121" i="1"/>
  <c r="Z121" i="1"/>
  <c r="AA121" i="1"/>
  <c r="AB121" i="1"/>
  <c r="AC121" i="1"/>
  <c r="AD121" i="1"/>
  <c r="AE121" i="1"/>
  <c r="AF121" i="1"/>
  <c r="AG121" i="1"/>
  <c r="AH121" i="1"/>
  <c r="Y122" i="1"/>
  <c r="Z122" i="1"/>
  <c r="AA122" i="1"/>
  <c r="AB122" i="1"/>
  <c r="AC122" i="1"/>
  <c r="AD122" i="1"/>
  <c r="AE122" i="1"/>
  <c r="AF122" i="1"/>
  <c r="AG122" i="1"/>
  <c r="AH122" i="1"/>
  <c r="Y123" i="1"/>
  <c r="Z123" i="1"/>
  <c r="AA123" i="1"/>
  <c r="AB123" i="1"/>
  <c r="AC123" i="1"/>
  <c r="AD123" i="1"/>
  <c r="AE123" i="1"/>
  <c r="AF123" i="1"/>
  <c r="AG123" i="1"/>
  <c r="AH123" i="1"/>
  <c r="Y124" i="1"/>
  <c r="Z124" i="1"/>
  <c r="AA124" i="1"/>
  <c r="AB124" i="1"/>
  <c r="AC124" i="1"/>
  <c r="AD124" i="1"/>
  <c r="AE124" i="1"/>
  <c r="AF124" i="1"/>
  <c r="AG124" i="1"/>
  <c r="AH124" i="1"/>
  <c r="Y125" i="1"/>
  <c r="Z125" i="1"/>
  <c r="AA125" i="1"/>
  <c r="AB125" i="1"/>
  <c r="AC125" i="1"/>
  <c r="AD125" i="1"/>
  <c r="AE125" i="1"/>
  <c r="AF125" i="1"/>
  <c r="AG125" i="1"/>
  <c r="AH125" i="1"/>
  <c r="Y126" i="1"/>
  <c r="Z126" i="1"/>
  <c r="AA126" i="1"/>
  <c r="AB126" i="1"/>
  <c r="AC126" i="1"/>
  <c r="AD126" i="1"/>
  <c r="AE126" i="1"/>
  <c r="AF126" i="1"/>
  <c r="AG126" i="1"/>
  <c r="AH126" i="1"/>
  <c r="Y127" i="1"/>
  <c r="Z127" i="1"/>
  <c r="AA127" i="1"/>
  <c r="AB127" i="1"/>
  <c r="AC127" i="1"/>
  <c r="AD127" i="1"/>
  <c r="AE127" i="1"/>
  <c r="AF127" i="1"/>
  <c r="AG127" i="1"/>
  <c r="AH127" i="1"/>
  <c r="Y128" i="1"/>
  <c r="Z128" i="1"/>
  <c r="AA128" i="1"/>
  <c r="AB128" i="1"/>
  <c r="AC128" i="1"/>
  <c r="AD128" i="1"/>
  <c r="AE128" i="1"/>
  <c r="AF128" i="1"/>
  <c r="AG128" i="1"/>
  <c r="AH128" i="1"/>
  <c r="Y129" i="1"/>
  <c r="Z129" i="1"/>
  <c r="AA129" i="1"/>
  <c r="AB129" i="1"/>
  <c r="AC129" i="1"/>
  <c r="AD129" i="1"/>
  <c r="AE129" i="1"/>
  <c r="AF129" i="1"/>
  <c r="AG129" i="1"/>
  <c r="AH129" i="1"/>
  <c r="Y130" i="1"/>
  <c r="Z130" i="1"/>
  <c r="AA130" i="1"/>
  <c r="AB130" i="1"/>
  <c r="AC130" i="1"/>
  <c r="AD130" i="1"/>
  <c r="AE130" i="1"/>
  <c r="AF130" i="1"/>
  <c r="AG130" i="1"/>
  <c r="AH130" i="1"/>
  <c r="Y131" i="1"/>
  <c r="Z131" i="1"/>
  <c r="AA131" i="1"/>
  <c r="AB131" i="1"/>
  <c r="AC131" i="1"/>
  <c r="AD131" i="1"/>
  <c r="AE131" i="1"/>
  <c r="AF131" i="1"/>
  <c r="AG131" i="1"/>
  <c r="AH131" i="1"/>
  <c r="Y132" i="1"/>
  <c r="Z132" i="1"/>
  <c r="AA132" i="1"/>
  <c r="AB132" i="1"/>
  <c r="AC132" i="1"/>
  <c r="AD132" i="1"/>
  <c r="AE132" i="1"/>
  <c r="AF132" i="1"/>
  <c r="AG132" i="1"/>
  <c r="AH132" i="1"/>
  <c r="Y133" i="1"/>
  <c r="Z133" i="1"/>
  <c r="AA133" i="1"/>
  <c r="AB133" i="1"/>
  <c r="AC133" i="1"/>
  <c r="AD133" i="1"/>
  <c r="AE133" i="1"/>
  <c r="AF133" i="1"/>
  <c r="AG133" i="1"/>
  <c r="AH133" i="1"/>
  <c r="Y134" i="1"/>
  <c r="Z134" i="1"/>
  <c r="AA134" i="1"/>
  <c r="AB134" i="1"/>
  <c r="AC134" i="1"/>
  <c r="AD134" i="1"/>
  <c r="AE134" i="1"/>
  <c r="AF134" i="1"/>
  <c r="AG134" i="1"/>
  <c r="AH134" i="1"/>
  <c r="Y135" i="1"/>
  <c r="Z135" i="1"/>
  <c r="AA135" i="1"/>
  <c r="AB135" i="1"/>
  <c r="AC135" i="1"/>
  <c r="AD135" i="1"/>
  <c r="AE135" i="1"/>
  <c r="AF135" i="1"/>
  <c r="AG135" i="1"/>
  <c r="AH135" i="1"/>
  <c r="Y136" i="1"/>
  <c r="Z136" i="1"/>
  <c r="AA136" i="1"/>
  <c r="AB136" i="1"/>
  <c r="AC136" i="1"/>
  <c r="AD136" i="1"/>
  <c r="AE136" i="1"/>
  <c r="AF136" i="1"/>
  <c r="AG136" i="1"/>
  <c r="AH136" i="1"/>
  <c r="Y137" i="1"/>
  <c r="Z137" i="1"/>
  <c r="AA137" i="1"/>
  <c r="AB137" i="1"/>
  <c r="AC137" i="1"/>
  <c r="AD137" i="1"/>
  <c r="AE137" i="1"/>
  <c r="AF137" i="1"/>
  <c r="AG137" i="1"/>
  <c r="AH137" i="1"/>
  <c r="Y138" i="1"/>
  <c r="Z138" i="1"/>
  <c r="AA138" i="1"/>
  <c r="AB138" i="1"/>
  <c r="AC138" i="1"/>
  <c r="AD138" i="1"/>
  <c r="AE138" i="1"/>
  <c r="AF138" i="1"/>
  <c r="AG138" i="1"/>
  <c r="AH138" i="1"/>
  <c r="Y139" i="1"/>
  <c r="Z139" i="1"/>
  <c r="AA139" i="1"/>
  <c r="AB139" i="1"/>
  <c r="AC139" i="1"/>
  <c r="AD139" i="1"/>
  <c r="AE139" i="1"/>
  <c r="AF139" i="1"/>
  <c r="AG139" i="1"/>
  <c r="AH139" i="1"/>
  <c r="Y140" i="1"/>
  <c r="Z140" i="1"/>
  <c r="AA140" i="1"/>
  <c r="AB140" i="1"/>
  <c r="AC140" i="1"/>
  <c r="AD140" i="1"/>
  <c r="AE140" i="1"/>
  <c r="AF140" i="1"/>
  <c r="AG140" i="1"/>
  <c r="AH140" i="1"/>
  <c r="Y141" i="1"/>
  <c r="Z141" i="1"/>
  <c r="AA141" i="1"/>
  <c r="AB141" i="1"/>
  <c r="AC141" i="1"/>
  <c r="AD141" i="1"/>
  <c r="AE141" i="1"/>
  <c r="AF141" i="1"/>
  <c r="AG141" i="1"/>
  <c r="AH141" i="1"/>
  <c r="Y142" i="1"/>
  <c r="Z142" i="1"/>
  <c r="AA142" i="1"/>
  <c r="AB142" i="1"/>
  <c r="AC142" i="1"/>
  <c r="AD142" i="1"/>
  <c r="AE142" i="1"/>
  <c r="AF142" i="1"/>
  <c r="AG142" i="1"/>
  <c r="AH142" i="1"/>
  <c r="Y143" i="1"/>
  <c r="Z143" i="1"/>
  <c r="AA143" i="1"/>
  <c r="AB143" i="1"/>
  <c r="AC143" i="1"/>
  <c r="AD143" i="1"/>
  <c r="AE143" i="1"/>
  <c r="AF143" i="1"/>
  <c r="AG143" i="1"/>
  <c r="AH143" i="1"/>
  <c r="Y144" i="1"/>
  <c r="Z144" i="1"/>
  <c r="AA144" i="1"/>
  <c r="AB144" i="1"/>
  <c r="AC144" i="1"/>
  <c r="AD144" i="1"/>
  <c r="AE144" i="1"/>
  <c r="AF144" i="1"/>
  <c r="AG144" i="1"/>
  <c r="AH144" i="1"/>
  <c r="Y145" i="1"/>
  <c r="Z145" i="1"/>
  <c r="AA145" i="1"/>
  <c r="AB145" i="1"/>
  <c r="AC145" i="1"/>
  <c r="AD145" i="1"/>
  <c r="AE145" i="1"/>
  <c r="AF145" i="1"/>
  <c r="AG145" i="1"/>
  <c r="AH145" i="1"/>
  <c r="Y146" i="1"/>
  <c r="Z146" i="1"/>
  <c r="AA146" i="1"/>
  <c r="AB146" i="1"/>
  <c r="AC146" i="1"/>
  <c r="AD146" i="1"/>
  <c r="AE146" i="1"/>
  <c r="AF146" i="1"/>
  <c r="AG146" i="1"/>
  <c r="AH146" i="1"/>
  <c r="Y147" i="1"/>
  <c r="Z147" i="1"/>
  <c r="AA147" i="1"/>
  <c r="AB147" i="1"/>
  <c r="AC147" i="1"/>
  <c r="AD147" i="1"/>
  <c r="AE147" i="1"/>
  <c r="AF147" i="1"/>
  <c r="AG147" i="1"/>
  <c r="AH147" i="1"/>
  <c r="Y148" i="1"/>
  <c r="Z148" i="1"/>
  <c r="AA148" i="1"/>
  <c r="AB148" i="1"/>
  <c r="AC148" i="1"/>
  <c r="AD148" i="1"/>
  <c r="AE148" i="1"/>
  <c r="AF148" i="1"/>
  <c r="AG148" i="1"/>
  <c r="AH148" i="1"/>
  <c r="Y149" i="1"/>
  <c r="Z149" i="1"/>
  <c r="AA149" i="1"/>
  <c r="AB149" i="1"/>
  <c r="AC149" i="1"/>
  <c r="AD149" i="1"/>
  <c r="AE149" i="1"/>
  <c r="AF149" i="1"/>
  <c r="AG149" i="1"/>
  <c r="AH149" i="1"/>
  <c r="Y150" i="1"/>
  <c r="Z150" i="1"/>
  <c r="AA150" i="1"/>
  <c r="AB150" i="1"/>
  <c r="AC150" i="1"/>
  <c r="AD150" i="1"/>
  <c r="AE150" i="1"/>
  <c r="AF150" i="1"/>
  <c r="AG150" i="1"/>
  <c r="AH150" i="1"/>
  <c r="Y151" i="1"/>
  <c r="Z151" i="1"/>
  <c r="AA151" i="1"/>
  <c r="AB151" i="1"/>
  <c r="AC151" i="1"/>
  <c r="AD151" i="1"/>
  <c r="AE151" i="1"/>
  <c r="AF151" i="1"/>
  <c r="AG151" i="1"/>
  <c r="AH151" i="1"/>
  <c r="Y152" i="1"/>
  <c r="Z152" i="1"/>
  <c r="AA152" i="1"/>
  <c r="AB152" i="1"/>
  <c r="AC152" i="1"/>
  <c r="AD152" i="1"/>
  <c r="AE152" i="1"/>
  <c r="AF152" i="1"/>
  <c r="AG152" i="1"/>
  <c r="AH152" i="1"/>
  <c r="Y153" i="1"/>
  <c r="Z153" i="1"/>
  <c r="AA153" i="1"/>
  <c r="AB153" i="1"/>
  <c r="AC153" i="1"/>
  <c r="AD153" i="1"/>
  <c r="AE153" i="1"/>
  <c r="AF153" i="1"/>
  <c r="AG153" i="1"/>
  <c r="AH153" i="1"/>
  <c r="Y154" i="1"/>
  <c r="Z154" i="1"/>
  <c r="AA154" i="1"/>
  <c r="AB154" i="1"/>
  <c r="AC154" i="1"/>
  <c r="AD154" i="1"/>
  <c r="AE154" i="1"/>
  <c r="AF154" i="1"/>
  <c r="AG154" i="1"/>
  <c r="AH154" i="1"/>
  <c r="Y155" i="1"/>
  <c r="Z155" i="1"/>
  <c r="AA155" i="1"/>
  <c r="AB155" i="1"/>
  <c r="AC155" i="1"/>
  <c r="AD155" i="1"/>
  <c r="AE155" i="1"/>
  <c r="AF155" i="1"/>
  <c r="AG155" i="1"/>
  <c r="AH155" i="1"/>
  <c r="Y156" i="1"/>
  <c r="Z156" i="1"/>
  <c r="AA156" i="1"/>
  <c r="AB156" i="1"/>
  <c r="AC156" i="1"/>
  <c r="AD156" i="1"/>
  <c r="AE156" i="1"/>
  <c r="AF156" i="1"/>
  <c r="AG156" i="1"/>
  <c r="AH156" i="1"/>
  <c r="Y157" i="1"/>
  <c r="Z157" i="1"/>
  <c r="AA157" i="1"/>
  <c r="AB157" i="1"/>
  <c r="AC157" i="1"/>
  <c r="AD157" i="1"/>
  <c r="AE157" i="1"/>
  <c r="AF157" i="1"/>
  <c r="AG157" i="1"/>
  <c r="AH157" i="1"/>
  <c r="Y158" i="1"/>
  <c r="Z158" i="1"/>
  <c r="AA158" i="1"/>
  <c r="AB158" i="1"/>
  <c r="AC158" i="1"/>
  <c r="AD158" i="1"/>
  <c r="AE158" i="1"/>
  <c r="AF158" i="1"/>
  <c r="AG158" i="1"/>
  <c r="AH158" i="1"/>
  <c r="Y159" i="1"/>
  <c r="Z159" i="1"/>
  <c r="AA159" i="1"/>
  <c r="AB159" i="1"/>
  <c r="AC159" i="1"/>
  <c r="AD159" i="1"/>
  <c r="AE159" i="1"/>
  <c r="AF159" i="1"/>
  <c r="AG159" i="1"/>
  <c r="AH159" i="1"/>
  <c r="Y160" i="1"/>
  <c r="Z160" i="1"/>
  <c r="AA160" i="1"/>
  <c r="AB160" i="1"/>
  <c r="AC160" i="1"/>
  <c r="AD160" i="1"/>
  <c r="AE160" i="1"/>
  <c r="AF160" i="1"/>
  <c r="AG160" i="1"/>
  <c r="AH160" i="1"/>
  <c r="Y161" i="1"/>
  <c r="Z161" i="1"/>
  <c r="AA161" i="1"/>
  <c r="AB161" i="1"/>
  <c r="AC161" i="1"/>
  <c r="AD161" i="1"/>
  <c r="AE161" i="1"/>
  <c r="AF161" i="1"/>
  <c r="AG161" i="1"/>
  <c r="AH161" i="1"/>
  <c r="Y162" i="1"/>
  <c r="Z162" i="1"/>
  <c r="AA162" i="1"/>
  <c r="AB162" i="1"/>
  <c r="AC162" i="1"/>
  <c r="AD162" i="1"/>
  <c r="AE162" i="1"/>
  <c r="AF162" i="1"/>
  <c r="AG162" i="1"/>
  <c r="AH162" i="1"/>
  <c r="Y163" i="1"/>
  <c r="Z163" i="1"/>
  <c r="AA163" i="1"/>
  <c r="AB163" i="1"/>
  <c r="AC163" i="1"/>
  <c r="AD163" i="1"/>
  <c r="AE163" i="1"/>
  <c r="AF163" i="1"/>
  <c r="AG163" i="1"/>
  <c r="AH163" i="1"/>
  <c r="Y164" i="1"/>
  <c r="Z164" i="1"/>
  <c r="AA164" i="1"/>
  <c r="AB164" i="1"/>
  <c r="AC164" i="1"/>
  <c r="AD164" i="1"/>
  <c r="AE164" i="1"/>
  <c r="AF164" i="1"/>
  <c r="AG164" i="1"/>
  <c r="AH164" i="1"/>
  <c r="Y165" i="1"/>
  <c r="Z165" i="1"/>
  <c r="AA165" i="1"/>
  <c r="AB165" i="1"/>
  <c r="AC165" i="1"/>
  <c r="AD165" i="1"/>
  <c r="AE165" i="1"/>
  <c r="AF165" i="1"/>
  <c r="AG165" i="1"/>
  <c r="AH165" i="1"/>
  <c r="Y166" i="1"/>
  <c r="Z166" i="1"/>
  <c r="AA166" i="1"/>
  <c r="AB166" i="1"/>
  <c r="AC166" i="1"/>
  <c r="AD166" i="1"/>
  <c r="AE166" i="1"/>
  <c r="AF166" i="1"/>
  <c r="AG166" i="1"/>
  <c r="AH166" i="1"/>
  <c r="Y167" i="1"/>
  <c r="Z167" i="1"/>
  <c r="AA167" i="1"/>
  <c r="AB167" i="1"/>
  <c r="AC167" i="1"/>
  <c r="AD167" i="1"/>
  <c r="AE167" i="1"/>
  <c r="AF167" i="1"/>
  <c r="AG167" i="1"/>
  <c r="AH167" i="1"/>
  <c r="Y168" i="1"/>
  <c r="Z168" i="1"/>
  <c r="AA168" i="1"/>
  <c r="AB168" i="1"/>
  <c r="AC168" i="1"/>
  <c r="AD168" i="1"/>
  <c r="AE168" i="1"/>
  <c r="AF168" i="1"/>
  <c r="AG168" i="1"/>
  <c r="AH168" i="1"/>
  <c r="Y169" i="1"/>
  <c r="Z169" i="1"/>
  <c r="AA169" i="1"/>
  <c r="AB169" i="1"/>
  <c r="AC169" i="1"/>
  <c r="AD169" i="1"/>
  <c r="AE169" i="1"/>
  <c r="AF169" i="1"/>
  <c r="AG169" i="1"/>
  <c r="AH169" i="1"/>
  <c r="Y170" i="1"/>
  <c r="Z170" i="1"/>
  <c r="AA170" i="1"/>
  <c r="AB170" i="1"/>
  <c r="AC170" i="1"/>
  <c r="AD170" i="1"/>
  <c r="AE170" i="1"/>
  <c r="AF170" i="1"/>
  <c r="AG170" i="1"/>
  <c r="AH170" i="1"/>
  <c r="Y171" i="1"/>
  <c r="Z171" i="1"/>
  <c r="AA171" i="1"/>
  <c r="AB171" i="1"/>
  <c r="AC171" i="1"/>
  <c r="AD171" i="1"/>
  <c r="AE171" i="1"/>
  <c r="AF171" i="1"/>
  <c r="AG171" i="1"/>
  <c r="AH171" i="1"/>
  <c r="Y172" i="1"/>
  <c r="Z172" i="1"/>
  <c r="AA172" i="1"/>
  <c r="AB172" i="1"/>
  <c r="AC172" i="1"/>
  <c r="AD172" i="1"/>
  <c r="AE172" i="1"/>
  <c r="AF172" i="1"/>
  <c r="AG172" i="1"/>
  <c r="AH172" i="1"/>
  <c r="Y173" i="1"/>
  <c r="Z173" i="1"/>
  <c r="AA173" i="1"/>
  <c r="AB173" i="1"/>
  <c r="AC173" i="1"/>
  <c r="AD173" i="1"/>
  <c r="AE173" i="1"/>
  <c r="AF173" i="1"/>
  <c r="AG173" i="1"/>
  <c r="AH173" i="1"/>
  <c r="Y174" i="1"/>
  <c r="Z174" i="1"/>
  <c r="AA174" i="1"/>
  <c r="AB174" i="1"/>
  <c r="AC174" i="1"/>
  <c r="AD174" i="1"/>
  <c r="AE174" i="1"/>
  <c r="AF174" i="1"/>
  <c r="AG174" i="1"/>
  <c r="AH174" i="1"/>
  <c r="Y175" i="1"/>
  <c r="Z175" i="1"/>
  <c r="AA175" i="1"/>
  <c r="AB175" i="1"/>
  <c r="AC175" i="1"/>
  <c r="AD175" i="1"/>
  <c r="AE175" i="1"/>
  <c r="AF175" i="1"/>
  <c r="AG175" i="1"/>
  <c r="AH175" i="1"/>
  <c r="Y176" i="1"/>
  <c r="Z176" i="1"/>
  <c r="AA176" i="1"/>
  <c r="AB176" i="1"/>
  <c r="AC176" i="1"/>
  <c r="AD176" i="1"/>
  <c r="AE176" i="1"/>
  <c r="AF176" i="1"/>
  <c r="AG176" i="1"/>
  <c r="AH176" i="1"/>
  <c r="Y177" i="1"/>
  <c r="Z177" i="1"/>
  <c r="AA177" i="1"/>
  <c r="AB177" i="1"/>
  <c r="AC177" i="1"/>
  <c r="AD177" i="1"/>
  <c r="AE177" i="1"/>
  <c r="AF177" i="1"/>
  <c r="AG177" i="1"/>
  <c r="AH177" i="1"/>
  <c r="Y178" i="1"/>
  <c r="Z178" i="1"/>
  <c r="AA178" i="1"/>
  <c r="AB178" i="1"/>
  <c r="AC178" i="1"/>
  <c r="AD178" i="1"/>
  <c r="AE178" i="1"/>
  <c r="AF178" i="1"/>
  <c r="AG178" i="1"/>
  <c r="AH178" i="1"/>
  <c r="Y179" i="1"/>
  <c r="Z179" i="1"/>
  <c r="AA179" i="1"/>
  <c r="AB179" i="1"/>
  <c r="AC179" i="1"/>
  <c r="AD179" i="1"/>
  <c r="AE179" i="1"/>
  <c r="AF179" i="1"/>
  <c r="AG179" i="1"/>
  <c r="AH179" i="1"/>
  <c r="Y180" i="1"/>
  <c r="Z180" i="1"/>
  <c r="AA180" i="1"/>
  <c r="AB180" i="1"/>
  <c r="AC180" i="1"/>
  <c r="AD180" i="1"/>
  <c r="AE180" i="1"/>
  <c r="AF180" i="1"/>
  <c r="AG180" i="1"/>
  <c r="AH180" i="1"/>
  <c r="Y181" i="1"/>
  <c r="Z181" i="1"/>
  <c r="AA181" i="1"/>
  <c r="AB181" i="1"/>
  <c r="AC181" i="1"/>
  <c r="AD181" i="1"/>
  <c r="AE181" i="1"/>
  <c r="AF181" i="1"/>
  <c r="AG181" i="1"/>
  <c r="AH181" i="1"/>
  <c r="Z5" i="1"/>
  <c r="AA5" i="1"/>
  <c r="AB5" i="1"/>
  <c r="AC5" i="1"/>
  <c r="AD5" i="1"/>
  <c r="AE5" i="1"/>
  <c r="AF5" i="1"/>
  <c r="AG5" i="1"/>
  <c r="AH5" i="1"/>
  <c r="Y5" i="1"/>
  <c r="Y3" i="1"/>
  <c r="N3" i="1"/>
  <c r="P3" i="1"/>
  <c r="R3" i="1"/>
  <c r="S3" i="1"/>
  <c r="U3" i="1"/>
  <c r="T6" i="1"/>
  <c r="T7" i="1"/>
  <c r="T8" i="1"/>
  <c r="T9" i="1"/>
  <c r="T10" i="1"/>
  <c r="T3" i="1" s="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5" i="1"/>
  <c r="V5" i="1"/>
  <c r="V6" i="1"/>
  <c r="V7" i="1"/>
  <c r="V8" i="1"/>
  <c r="V9" i="1"/>
  <c r="V3" i="1" s="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N5" i="1"/>
  <c r="O5" i="1"/>
  <c r="P5" i="1"/>
  <c r="Q5" i="1"/>
  <c r="R5" i="1"/>
  <c r="S5" i="1"/>
  <c r="U5" i="1"/>
  <c r="N6" i="1"/>
  <c r="O6" i="1"/>
  <c r="O3" i="1" s="1"/>
  <c r="P6" i="1"/>
  <c r="Q6" i="1"/>
  <c r="R6" i="1"/>
  <c r="S6" i="1"/>
  <c r="U6" i="1"/>
  <c r="N7" i="1"/>
  <c r="O7" i="1"/>
  <c r="P7" i="1"/>
  <c r="Q7" i="1"/>
  <c r="R7" i="1"/>
  <c r="S7" i="1"/>
  <c r="U7" i="1"/>
  <c r="N8" i="1"/>
  <c r="O8" i="1"/>
  <c r="P8" i="1"/>
  <c r="Q8" i="1"/>
  <c r="R8" i="1"/>
  <c r="S8" i="1"/>
  <c r="U8" i="1"/>
  <c r="N9" i="1"/>
  <c r="O9" i="1"/>
  <c r="P9" i="1"/>
  <c r="Q9" i="1"/>
  <c r="R9" i="1"/>
  <c r="S9" i="1"/>
  <c r="U9" i="1"/>
  <c r="N10" i="1"/>
  <c r="O10" i="1"/>
  <c r="P10" i="1"/>
  <c r="Q10" i="1"/>
  <c r="R10" i="1"/>
  <c r="S10" i="1"/>
  <c r="U10" i="1"/>
  <c r="N11" i="1"/>
  <c r="O11" i="1"/>
  <c r="P11" i="1"/>
  <c r="Q11" i="1"/>
  <c r="R11" i="1"/>
  <c r="S11" i="1"/>
  <c r="U11" i="1"/>
  <c r="N12" i="1"/>
  <c r="O12" i="1"/>
  <c r="P12" i="1"/>
  <c r="Q12" i="1"/>
  <c r="R12" i="1"/>
  <c r="S12" i="1"/>
  <c r="U12" i="1"/>
  <c r="N13" i="1"/>
  <c r="O13" i="1"/>
  <c r="P13" i="1"/>
  <c r="Q13" i="1"/>
  <c r="R13" i="1"/>
  <c r="S13" i="1"/>
  <c r="U13" i="1"/>
  <c r="N14" i="1"/>
  <c r="O14" i="1"/>
  <c r="P14" i="1"/>
  <c r="Q14" i="1"/>
  <c r="R14" i="1"/>
  <c r="S14" i="1"/>
  <c r="U14" i="1"/>
  <c r="N15" i="1"/>
  <c r="O15" i="1"/>
  <c r="P15" i="1"/>
  <c r="Q15" i="1"/>
  <c r="R15" i="1"/>
  <c r="S15" i="1"/>
  <c r="U15" i="1"/>
  <c r="N16" i="1"/>
  <c r="O16" i="1"/>
  <c r="P16" i="1"/>
  <c r="Q16" i="1"/>
  <c r="R16" i="1"/>
  <c r="S16" i="1"/>
  <c r="U16" i="1"/>
  <c r="N17" i="1"/>
  <c r="O17" i="1"/>
  <c r="P17" i="1"/>
  <c r="Q17" i="1"/>
  <c r="R17" i="1"/>
  <c r="S17" i="1"/>
  <c r="U17" i="1"/>
  <c r="N18" i="1"/>
  <c r="O18" i="1"/>
  <c r="P18" i="1"/>
  <c r="Q18" i="1"/>
  <c r="R18" i="1"/>
  <c r="S18" i="1"/>
  <c r="U18" i="1"/>
  <c r="N19" i="1"/>
  <c r="O19" i="1"/>
  <c r="P19" i="1"/>
  <c r="Q19" i="1"/>
  <c r="R19" i="1"/>
  <c r="S19" i="1"/>
  <c r="U19" i="1"/>
  <c r="N20" i="1"/>
  <c r="O20" i="1"/>
  <c r="P20" i="1"/>
  <c r="Q20" i="1"/>
  <c r="R20" i="1"/>
  <c r="S20" i="1"/>
  <c r="U20" i="1"/>
  <c r="N21" i="1"/>
  <c r="O21" i="1"/>
  <c r="P21" i="1"/>
  <c r="Q21" i="1"/>
  <c r="R21" i="1"/>
  <c r="S21" i="1"/>
  <c r="U21" i="1"/>
  <c r="N22" i="1"/>
  <c r="O22" i="1"/>
  <c r="P22" i="1"/>
  <c r="Q22" i="1"/>
  <c r="R22" i="1"/>
  <c r="S22" i="1"/>
  <c r="U22" i="1"/>
  <c r="N23" i="1"/>
  <c r="O23" i="1"/>
  <c r="P23" i="1"/>
  <c r="Q23" i="1"/>
  <c r="R23" i="1"/>
  <c r="S23" i="1"/>
  <c r="U23" i="1"/>
  <c r="N24" i="1"/>
  <c r="O24" i="1"/>
  <c r="P24" i="1"/>
  <c r="Q24" i="1"/>
  <c r="R24" i="1"/>
  <c r="S24" i="1"/>
  <c r="U24" i="1"/>
  <c r="N25" i="1"/>
  <c r="O25" i="1"/>
  <c r="P25" i="1"/>
  <c r="Q25" i="1"/>
  <c r="R25" i="1"/>
  <c r="S25" i="1"/>
  <c r="U25" i="1"/>
  <c r="N26" i="1"/>
  <c r="O26" i="1"/>
  <c r="P26" i="1"/>
  <c r="Q26" i="1"/>
  <c r="R26" i="1"/>
  <c r="S26" i="1"/>
  <c r="U26" i="1"/>
  <c r="N27" i="1"/>
  <c r="O27" i="1"/>
  <c r="P27" i="1"/>
  <c r="Q27" i="1"/>
  <c r="R27" i="1"/>
  <c r="S27" i="1"/>
  <c r="U27" i="1"/>
  <c r="N28" i="1"/>
  <c r="O28" i="1"/>
  <c r="P28" i="1"/>
  <c r="Q28" i="1"/>
  <c r="R28" i="1"/>
  <c r="S28" i="1"/>
  <c r="U28" i="1"/>
  <c r="N29" i="1"/>
  <c r="O29" i="1"/>
  <c r="P29" i="1"/>
  <c r="Q29" i="1"/>
  <c r="R29" i="1"/>
  <c r="S29" i="1"/>
  <c r="U29" i="1"/>
  <c r="N30" i="1"/>
  <c r="O30" i="1"/>
  <c r="P30" i="1"/>
  <c r="Q30" i="1"/>
  <c r="R30" i="1"/>
  <c r="S30" i="1"/>
  <c r="U30" i="1"/>
  <c r="N31" i="1"/>
  <c r="O31" i="1"/>
  <c r="P31" i="1"/>
  <c r="Q31" i="1"/>
  <c r="R31" i="1"/>
  <c r="S31" i="1"/>
  <c r="U31" i="1"/>
  <c r="N32" i="1"/>
  <c r="O32" i="1"/>
  <c r="P32" i="1"/>
  <c r="Q32" i="1"/>
  <c r="R32" i="1"/>
  <c r="S32" i="1"/>
  <c r="U32" i="1"/>
  <c r="N33" i="1"/>
  <c r="O33" i="1"/>
  <c r="P33" i="1"/>
  <c r="Q33" i="1"/>
  <c r="R33" i="1"/>
  <c r="S33" i="1"/>
  <c r="U33" i="1"/>
  <c r="N34" i="1"/>
  <c r="O34" i="1"/>
  <c r="P34" i="1"/>
  <c r="Q34" i="1"/>
  <c r="R34" i="1"/>
  <c r="S34" i="1"/>
  <c r="U34" i="1"/>
  <c r="N35" i="1"/>
  <c r="O35" i="1"/>
  <c r="P35" i="1"/>
  <c r="Q35" i="1"/>
  <c r="R35" i="1"/>
  <c r="S35" i="1"/>
  <c r="U35" i="1"/>
  <c r="N36" i="1"/>
  <c r="O36" i="1"/>
  <c r="P36" i="1"/>
  <c r="Q36" i="1"/>
  <c r="R36" i="1"/>
  <c r="S36" i="1"/>
  <c r="U36" i="1"/>
  <c r="N37" i="1"/>
  <c r="O37" i="1"/>
  <c r="P37" i="1"/>
  <c r="Q37" i="1"/>
  <c r="R37" i="1"/>
  <c r="S37" i="1"/>
  <c r="U37" i="1"/>
  <c r="N38" i="1"/>
  <c r="O38" i="1"/>
  <c r="P38" i="1"/>
  <c r="Q38" i="1"/>
  <c r="R38" i="1"/>
  <c r="S38" i="1"/>
  <c r="U38" i="1"/>
  <c r="N39" i="1"/>
  <c r="O39" i="1"/>
  <c r="P39" i="1"/>
  <c r="Q39" i="1"/>
  <c r="R39" i="1"/>
  <c r="S39" i="1"/>
  <c r="U39" i="1"/>
  <c r="N40" i="1"/>
  <c r="O40" i="1"/>
  <c r="P40" i="1"/>
  <c r="Q40" i="1"/>
  <c r="R40" i="1"/>
  <c r="S40" i="1"/>
  <c r="U40" i="1"/>
  <c r="N41" i="1"/>
  <c r="O41" i="1"/>
  <c r="P41" i="1"/>
  <c r="Q41" i="1"/>
  <c r="R41" i="1"/>
  <c r="S41" i="1"/>
  <c r="U41" i="1"/>
  <c r="N42" i="1"/>
  <c r="O42" i="1"/>
  <c r="P42" i="1"/>
  <c r="Q42" i="1"/>
  <c r="R42" i="1"/>
  <c r="S42" i="1"/>
  <c r="U42" i="1"/>
  <c r="N43" i="1"/>
  <c r="O43" i="1"/>
  <c r="P43" i="1"/>
  <c r="Q43" i="1"/>
  <c r="R43" i="1"/>
  <c r="S43" i="1"/>
  <c r="U43" i="1"/>
  <c r="N44" i="1"/>
  <c r="O44" i="1"/>
  <c r="P44" i="1"/>
  <c r="Q44" i="1"/>
  <c r="R44" i="1"/>
  <c r="S44" i="1"/>
  <c r="U44" i="1"/>
  <c r="N45" i="1"/>
  <c r="O45" i="1"/>
  <c r="P45" i="1"/>
  <c r="Q45" i="1"/>
  <c r="R45" i="1"/>
  <c r="S45" i="1"/>
  <c r="U45" i="1"/>
  <c r="N46" i="1"/>
  <c r="O46" i="1"/>
  <c r="P46" i="1"/>
  <c r="Q46" i="1"/>
  <c r="R46" i="1"/>
  <c r="S46" i="1"/>
  <c r="U46" i="1"/>
  <c r="N47" i="1"/>
  <c r="O47" i="1"/>
  <c r="P47" i="1"/>
  <c r="Q47" i="1"/>
  <c r="R47" i="1"/>
  <c r="S47" i="1"/>
  <c r="U47" i="1"/>
  <c r="N48" i="1"/>
  <c r="O48" i="1"/>
  <c r="P48" i="1"/>
  <c r="Q48" i="1"/>
  <c r="R48" i="1"/>
  <c r="S48" i="1"/>
  <c r="U48" i="1"/>
  <c r="N49" i="1"/>
  <c r="O49" i="1"/>
  <c r="P49" i="1"/>
  <c r="Q49" i="1"/>
  <c r="R49" i="1"/>
  <c r="S49" i="1"/>
  <c r="U49" i="1"/>
  <c r="N50" i="1"/>
  <c r="O50" i="1"/>
  <c r="P50" i="1"/>
  <c r="Q50" i="1"/>
  <c r="R50" i="1"/>
  <c r="S50" i="1"/>
  <c r="U50" i="1"/>
  <c r="N51" i="1"/>
  <c r="O51" i="1"/>
  <c r="P51" i="1"/>
  <c r="Q51" i="1"/>
  <c r="R51" i="1"/>
  <c r="S51" i="1"/>
  <c r="U51" i="1"/>
  <c r="N52" i="1"/>
  <c r="O52" i="1"/>
  <c r="P52" i="1"/>
  <c r="Q52" i="1"/>
  <c r="R52" i="1"/>
  <c r="S52" i="1"/>
  <c r="U52" i="1"/>
  <c r="N53" i="1"/>
  <c r="O53" i="1"/>
  <c r="P53" i="1"/>
  <c r="Q53" i="1"/>
  <c r="R53" i="1"/>
  <c r="S53" i="1"/>
  <c r="U53" i="1"/>
  <c r="N54" i="1"/>
  <c r="O54" i="1"/>
  <c r="P54" i="1"/>
  <c r="Q54" i="1"/>
  <c r="R54" i="1"/>
  <c r="S54" i="1"/>
  <c r="U54" i="1"/>
  <c r="N55" i="1"/>
  <c r="O55" i="1"/>
  <c r="P55" i="1"/>
  <c r="Q55" i="1"/>
  <c r="R55" i="1"/>
  <c r="S55" i="1"/>
  <c r="U55" i="1"/>
  <c r="N56" i="1"/>
  <c r="O56" i="1"/>
  <c r="P56" i="1"/>
  <c r="Q56" i="1"/>
  <c r="R56" i="1"/>
  <c r="S56" i="1"/>
  <c r="U56" i="1"/>
  <c r="N57" i="1"/>
  <c r="O57" i="1"/>
  <c r="P57" i="1"/>
  <c r="Q57" i="1"/>
  <c r="R57" i="1"/>
  <c r="S57" i="1"/>
  <c r="U57" i="1"/>
  <c r="N58" i="1"/>
  <c r="O58" i="1"/>
  <c r="P58" i="1"/>
  <c r="Q58" i="1"/>
  <c r="R58" i="1"/>
  <c r="S58" i="1"/>
  <c r="U58" i="1"/>
  <c r="N59" i="1"/>
  <c r="O59" i="1"/>
  <c r="P59" i="1"/>
  <c r="Q59" i="1"/>
  <c r="R59" i="1"/>
  <c r="S59" i="1"/>
  <c r="U59" i="1"/>
  <c r="N60" i="1"/>
  <c r="O60" i="1"/>
  <c r="P60" i="1"/>
  <c r="Q60" i="1"/>
  <c r="R60" i="1"/>
  <c r="S60" i="1"/>
  <c r="U60" i="1"/>
  <c r="N63" i="1"/>
  <c r="O63" i="1"/>
  <c r="P63" i="1"/>
  <c r="Q63" i="1"/>
  <c r="R63" i="1"/>
  <c r="S63" i="1"/>
  <c r="U63" i="1"/>
  <c r="N64" i="1"/>
  <c r="O64" i="1"/>
  <c r="P64" i="1"/>
  <c r="Q64" i="1"/>
  <c r="R64" i="1"/>
  <c r="S64" i="1"/>
  <c r="U64" i="1"/>
  <c r="N65" i="1"/>
  <c r="O65" i="1"/>
  <c r="P65" i="1"/>
  <c r="Q65" i="1"/>
  <c r="R65" i="1"/>
  <c r="S65" i="1"/>
  <c r="U65" i="1"/>
  <c r="N66" i="1"/>
  <c r="O66" i="1"/>
  <c r="P66" i="1"/>
  <c r="Q66" i="1"/>
  <c r="R66" i="1"/>
  <c r="S66" i="1"/>
  <c r="U66" i="1"/>
  <c r="N67" i="1"/>
  <c r="O67" i="1"/>
  <c r="P67" i="1"/>
  <c r="Q67" i="1"/>
  <c r="R67" i="1"/>
  <c r="S67" i="1"/>
  <c r="U67" i="1"/>
  <c r="N68" i="1"/>
  <c r="O68" i="1"/>
  <c r="P68" i="1"/>
  <c r="Q68" i="1"/>
  <c r="R68" i="1"/>
  <c r="S68" i="1"/>
  <c r="U68" i="1"/>
  <c r="N69" i="1"/>
  <c r="O69" i="1"/>
  <c r="P69" i="1"/>
  <c r="Q69" i="1"/>
  <c r="R69" i="1"/>
  <c r="S69" i="1"/>
  <c r="U69" i="1"/>
  <c r="N70" i="1"/>
  <c r="O70" i="1"/>
  <c r="P70" i="1"/>
  <c r="Q70" i="1"/>
  <c r="R70" i="1"/>
  <c r="S70" i="1"/>
  <c r="U70" i="1"/>
  <c r="N71" i="1"/>
  <c r="O71" i="1"/>
  <c r="P71" i="1"/>
  <c r="Q71" i="1"/>
  <c r="R71" i="1"/>
  <c r="S71" i="1"/>
  <c r="U71" i="1"/>
  <c r="N72" i="1"/>
  <c r="O72" i="1"/>
  <c r="P72" i="1"/>
  <c r="Q72" i="1"/>
  <c r="R72" i="1"/>
  <c r="S72" i="1"/>
  <c r="U72" i="1"/>
  <c r="N73" i="1"/>
  <c r="O73" i="1"/>
  <c r="P73" i="1"/>
  <c r="Q73" i="1"/>
  <c r="R73" i="1"/>
  <c r="S73" i="1"/>
  <c r="U73" i="1"/>
  <c r="N74" i="1"/>
  <c r="O74" i="1"/>
  <c r="P74" i="1"/>
  <c r="Q74" i="1"/>
  <c r="R74" i="1"/>
  <c r="S74" i="1"/>
  <c r="U74" i="1"/>
  <c r="N75" i="1"/>
  <c r="O75" i="1"/>
  <c r="P75" i="1"/>
  <c r="Q75" i="1"/>
  <c r="R75" i="1"/>
  <c r="S75" i="1"/>
  <c r="U75" i="1"/>
  <c r="N76" i="1"/>
  <c r="O76" i="1"/>
  <c r="P76" i="1"/>
  <c r="Q76" i="1"/>
  <c r="R76" i="1"/>
  <c r="S76" i="1"/>
  <c r="U76" i="1"/>
  <c r="N77" i="1"/>
  <c r="O77" i="1"/>
  <c r="P77" i="1"/>
  <c r="Q77" i="1"/>
  <c r="R77" i="1"/>
  <c r="S77" i="1"/>
  <c r="U77" i="1"/>
  <c r="N78" i="1"/>
  <c r="O78" i="1"/>
  <c r="P78" i="1"/>
  <c r="Q78" i="1"/>
  <c r="R78" i="1"/>
  <c r="S78" i="1"/>
  <c r="U78" i="1"/>
  <c r="N79" i="1"/>
  <c r="O79" i="1"/>
  <c r="P79" i="1"/>
  <c r="Q79" i="1"/>
  <c r="R79" i="1"/>
  <c r="S79" i="1"/>
  <c r="U79" i="1"/>
  <c r="N80" i="1"/>
  <c r="O80" i="1"/>
  <c r="P80" i="1"/>
  <c r="Q80" i="1"/>
  <c r="R80" i="1"/>
  <c r="S80" i="1"/>
  <c r="U80" i="1"/>
  <c r="N81" i="1"/>
  <c r="O81" i="1"/>
  <c r="P81" i="1"/>
  <c r="Q81" i="1"/>
  <c r="R81" i="1"/>
  <c r="S81" i="1"/>
  <c r="U81" i="1"/>
  <c r="N82" i="1"/>
  <c r="O82" i="1"/>
  <c r="P82" i="1"/>
  <c r="Q82" i="1"/>
  <c r="R82" i="1"/>
  <c r="S82" i="1"/>
  <c r="U82" i="1"/>
  <c r="N83" i="1"/>
  <c r="O83" i="1"/>
  <c r="P83" i="1"/>
  <c r="Q83" i="1"/>
  <c r="R83" i="1"/>
  <c r="S83" i="1"/>
  <c r="U83" i="1"/>
  <c r="N84" i="1"/>
  <c r="O84" i="1"/>
  <c r="P84" i="1"/>
  <c r="Q84" i="1"/>
  <c r="R84" i="1"/>
  <c r="S84" i="1"/>
  <c r="U84" i="1"/>
  <c r="N85" i="1"/>
  <c r="O85" i="1"/>
  <c r="P85" i="1"/>
  <c r="Q85" i="1"/>
  <c r="R85" i="1"/>
  <c r="S85" i="1"/>
  <c r="U85" i="1"/>
  <c r="N86" i="1"/>
  <c r="O86" i="1"/>
  <c r="P86" i="1"/>
  <c r="Q86" i="1"/>
  <c r="R86" i="1"/>
  <c r="S86" i="1"/>
  <c r="U86" i="1"/>
  <c r="N87" i="1"/>
  <c r="O87" i="1"/>
  <c r="P87" i="1"/>
  <c r="Q87" i="1"/>
  <c r="R87" i="1"/>
  <c r="S87" i="1"/>
  <c r="U87" i="1"/>
  <c r="N88" i="1"/>
  <c r="O88" i="1"/>
  <c r="P88" i="1"/>
  <c r="Q88" i="1"/>
  <c r="R88" i="1"/>
  <c r="S88" i="1"/>
  <c r="U88" i="1"/>
  <c r="N89" i="1"/>
  <c r="O89" i="1"/>
  <c r="P89" i="1"/>
  <c r="Q89" i="1"/>
  <c r="R89" i="1"/>
  <c r="S89" i="1"/>
  <c r="U89" i="1"/>
  <c r="N90" i="1"/>
  <c r="O90" i="1"/>
  <c r="P90" i="1"/>
  <c r="Q90" i="1"/>
  <c r="R90" i="1"/>
  <c r="S90" i="1"/>
  <c r="U90" i="1"/>
  <c r="N91" i="1"/>
  <c r="O91" i="1"/>
  <c r="P91" i="1"/>
  <c r="Q91" i="1"/>
  <c r="R91" i="1"/>
  <c r="S91" i="1"/>
  <c r="U91" i="1"/>
  <c r="N92" i="1"/>
  <c r="O92" i="1"/>
  <c r="P92" i="1"/>
  <c r="Q92" i="1"/>
  <c r="R92" i="1"/>
  <c r="S92" i="1"/>
  <c r="U92" i="1"/>
  <c r="N93" i="1"/>
  <c r="O93" i="1"/>
  <c r="P93" i="1"/>
  <c r="Q93" i="1"/>
  <c r="R93" i="1"/>
  <c r="S93" i="1"/>
  <c r="U93" i="1"/>
  <c r="N94" i="1"/>
  <c r="O94" i="1"/>
  <c r="P94" i="1"/>
  <c r="Q94" i="1"/>
  <c r="R94" i="1"/>
  <c r="S94" i="1"/>
  <c r="U94" i="1"/>
  <c r="N95" i="1"/>
  <c r="O95" i="1"/>
  <c r="P95" i="1"/>
  <c r="Q95" i="1"/>
  <c r="R95" i="1"/>
  <c r="S95" i="1"/>
  <c r="U95" i="1"/>
  <c r="N96" i="1"/>
  <c r="O96" i="1"/>
  <c r="P96" i="1"/>
  <c r="Q96" i="1"/>
  <c r="R96" i="1"/>
  <c r="S96" i="1"/>
  <c r="U96" i="1"/>
  <c r="N97" i="1"/>
  <c r="O97" i="1"/>
  <c r="P97" i="1"/>
  <c r="Q97" i="1"/>
  <c r="R97" i="1"/>
  <c r="S97" i="1"/>
  <c r="U97" i="1"/>
  <c r="N98" i="1"/>
  <c r="O98" i="1"/>
  <c r="P98" i="1"/>
  <c r="Q98" i="1"/>
  <c r="R98" i="1"/>
  <c r="S98" i="1"/>
  <c r="U98" i="1"/>
  <c r="N99" i="1"/>
  <c r="O99" i="1"/>
  <c r="P99" i="1"/>
  <c r="Q99" i="1"/>
  <c r="R99" i="1"/>
  <c r="S99" i="1"/>
  <c r="U99" i="1"/>
  <c r="N100" i="1"/>
  <c r="O100" i="1"/>
  <c r="P100" i="1"/>
  <c r="Q100" i="1"/>
  <c r="R100" i="1"/>
  <c r="S100" i="1"/>
  <c r="U100" i="1"/>
  <c r="N101" i="1"/>
  <c r="O101" i="1"/>
  <c r="P101" i="1"/>
  <c r="Q101" i="1"/>
  <c r="R101" i="1"/>
  <c r="S101" i="1"/>
  <c r="U101" i="1"/>
  <c r="N102" i="1"/>
  <c r="O102" i="1"/>
  <c r="P102" i="1"/>
  <c r="Q102" i="1"/>
  <c r="R102" i="1"/>
  <c r="S102" i="1"/>
  <c r="U102" i="1"/>
  <c r="N103" i="1"/>
  <c r="O103" i="1"/>
  <c r="P103" i="1"/>
  <c r="Q103" i="1"/>
  <c r="R103" i="1"/>
  <c r="S103" i="1"/>
  <c r="U103" i="1"/>
  <c r="N104" i="1"/>
  <c r="O104" i="1"/>
  <c r="P104" i="1"/>
  <c r="Q104" i="1"/>
  <c r="R104" i="1"/>
  <c r="S104" i="1"/>
  <c r="U104" i="1"/>
  <c r="N105" i="1"/>
  <c r="O105" i="1"/>
  <c r="P105" i="1"/>
  <c r="Q105" i="1"/>
  <c r="R105" i="1"/>
  <c r="S105" i="1"/>
  <c r="U105" i="1"/>
  <c r="N106" i="1"/>
  <c r="O106" i="1"/>
  <c r="P106" i="1"/>
  <c r="Q106" i="1"/>
  <c r="R106" i="1"/>
  <c r="S106" i="1"/>
  <c r="U106" i="1"/>
  <c r="N107" i="1"/>
  <c r="O107" i="1"/>
  <c r="P107" i="1"/>
  <c r="Q107" i="1"/>
  <c r="R107" i="1"/>
  <c r="S107" i="1"/>
  <c r="U107" i="1"/>
  <c r="N108" i="1"/>
  <c r="O108" i="1"/>
  <c r="P108" i="1"/>
  <c r="Q108" i="1"/>
  <c r="R108" i="1"/>
  <c r="S108" i="1"/>
  <c r="U108" i="1"/>
  <c r="N109" i="1"/>
  <c r="O109" i="1"/>
  <c r="P109" i="1"/>
  <c r="Q109" i="1"/>
  <c r="R109" i="1"/>
  <c r="S109" i="1"/>
  <c r="U109" i="1"/>
  <c r="N110" i="1"/>
  <c r="O110" i="1"/>
  <c r="P110" i="1"/>
  <c r="Q110" i="1"/>
  <c r="R110" i="1"/>
  <c r="S110" i="1"/>
  <c r="U110" i="1"/>
  <c r="N111" i="1"/>
  <c r="O111" i="1"/>
  <c r="P111" i="1"/>
  <c r="Q111" i="1"/>
  <c r="R111" i="1"/>
  <c r="S111" i="1"/>
  <c r="U111" i="1"/>
  <c r="N112" i="1"/>
  <c r="O112" i="1"/>
  <c r="P112" i="1"/>
  <c r="Q112" i="1"/>
  <c r="R112" i="1"/>
  <c r="S112" i="1"/>
  <c r="U112" i="1"/>
  <c r="N113" i="1"/>
  <c r="O113" i="1"/>
  <c r="P113" i="1"/>
  <c r="Q113" i="1"/>
  <c r="R113" i="1"/>
  <c r="S113" i="1"/>
  <c r="U113" i="1"/>
  <c r="N114" i="1"/>
  <c r="O114" i="1"/>
  <c r="P114" i="1"/>
  <c r="Q114" i="1"/>
  <c r="R114" i="1"/>
  <c r="S114" i="1"/>
  <c r="U114" i="1"/>
  <c r="N115" i="1"/>
  <c r="O115" i="1"/>
  <c r="P115" i="1"/>
  <c r="Q115" i="1"/>
  <c r="R115" i="1"/>
  <c r="S115" i="1"/>
  <c r="U115" i="1"/>
  <c r="N116" i="1"/>
  <c r="O116" i="1"/>
  <c r="P116" i="1"/>
  <c r="Q116" i="1"/>
  <c r="R116" i="1"/>
  <c r="S116" i="1"/>
  <c r="U116" i="1"/>
  <c r="N117" i="1"/>
  <c r="O117" i="1"/>
  <c r="P117" i="1"/>
  <c r="Q117" i="1"/>
  <c r="R117" i="1"/>
  <c r="S117" i="1"/>
  <c r="U117" i="1"/>
  <c r="N118" i="1"/>
  <c r="O118" i="1"/>
  <c r="P118" i="1"/>
  <c r="Q118" i="1"/>
  <c r="R118" i="1"/>
  <c r="S118" i="1"/>
  <c r="U118" i="1"/>
  <c r="N119" i="1"/>
  <c r="O119" i="1"/>
  <c r="P119" i="1"/>
  <c r="Q119" i="1"/>
  <c r="R119" i="1"/>
  <c r="S119" i="1"/>
  <c r="U119" i="1"/>
  <c r="N120" i="1"/>
  <c r="O120" i="1"/>
  <c r="P120" i="1"/>
  <c r="Q120" i="1"/>
  <c r="R120" i="1"/>
  <c r="S120" i="1"/>
  <c r="U120" i="1"/>
  <c r="N121" i="1"/>
  <c r="O121" i="1"/>
  <c r="P121" i="1"/>
  <c r="Q121" i="1"/>
  <c r="R121" i="1"/>
  <c r="S121" i="1"/>
  <c r="U121" i="1"/>
  <c r="N122" i="1"/>
  <c r="O122" i="1"/>
  <c r="P122" i="1"/>
  <c r="Q122" i="1"/>
  <c r="R122" i="1"/>
  <c r="S122" i="1"/>
  <c r="U122" i="1"/>
  <c r="N123" i="1"/>
  <c r="O123" i="1"/>
  <c r="P123" i="1"/>
  <c r="Q123" i="1"/>
  <c r="R123" i="1"/>
  <c r="S123" i="1"/>
  <c r="U123" i="1"/>
  <c r="N124" i="1"/>
  <c r="O124" i="1"/>
  <c r="P124" i="1"/>
  <c r="Q124" i="1"/>
  <c r="R124" i="1"/>
  <c r="S124" i="1"/>
  <c r="U124" i="1"/>
  <c r="N125" i="1"/>
  <c r="O125" i="1"/>
  <c r="P125" i="1"/>
  <c r="Q125" i="1"/>
  <c r="R125" i="1"/>
  <c r="S125" i="1"/>
  <c r="U125" i="1"/>
  <c r="N126" i="1"/>
  <c r="O126" i="1"/>
  <c r="P126" i="1"/>
  <c r="Q126" i="1"/>
  <c r="R126" i="1"/>
  <c r="S126" i="1"/>
  <c r="U126" i="1"/>
  <c r="N127" i="1"/>
  <c r="O127" i="1"/>
  <c r="P127" i="1"/>
  <c r="Q127" i="1"/>
  <c r="R127" i="1"/>
  <c r="S127" i="1"/>
  <c r="U127" i="1"/>
  <c r="N128" i="1"/>
  <c r="O128" i="1"/>
  <c r="P128" i="1"/>
  <c r="Q128" i="1"/>
  <c r="R128" i="1"/>
  <c r="S128" i="1"/>
  <c r="U128" i="1"/>
  <c r="N129" i="1"/>
  <c r="O129" i="1"/>
  <c r="P129" i="1"/>
  <c r="Q129" i="1"/>
  <c r="R129" i="1"/>
  <c r="S129" i="1"/>
  <c r="U129" i="1"/>
  <c r="N130" i="1"/>
  <c r="O130" i="1"/>
  <c r="P130" i="1"/>
  <c r="Q130" i="1"/>
  <c r="R130" i="1"/>
  <c r="S130" i="1"/>
  <c r="U130" i="1"/>
  <c r="N131" i="1"/>
  <c r="O131" i="1"/>
  <c r="P131" i="1"/>
  <c r="Q131" i="1"/>
  <c r="R131" i="1"/>
  <c r="S131" i="1"/>
  <c r="U131" i="1"/>
  <c r="N132" i="1"/>
  <c r="O132" i="1"/>
  <c r="P132" i="1"/>
  <c r="Q132" i="1"/>
  <c r="R132" i="1"/>
  <c r="S132" i="1"/>
  <c r="U132" i="1"/>
  <c r="N133" i="1"/>
  <c r="O133" i="1"/>
  <c r="P133" i="1"/>
  <c r="Q133" i="1"/>
  <c r="R133" i="1"/>
  <c r="S133" i="1"/>
  <c r="U133" i="1"/>
  <c r="N134" i="1"/>
  <c r="O134" i="1"/>
  <c r="P134" i="1"/>
  <c r="Q134" i="1"/>
  <c r="R134" i="1"/>
  <c r="S134" i="1"/>
  <c r="U134" i="1"/>
  <c r="N135" i="1"/>
  <c r="O135" i="1"/>
  <c r="P135" i="1"/>
  <c r="Q135" i="1"/>
  <c r="R135" i="1"/>
  <c r="S135" i="1"/>
  <c r="U135" i="1"/>
  <c r="N136" i="1"/>
  <c r="O136" i="1"/>
  <c r="P136" i="1"/>
  <c r="Q136" i="1"/>
  <c r="R136" i="1"/>
  <c r="S136" i="1"/>
  <c r="U136" i="1"/>
  <c r="N137" i="1"/>
  <c r="O137" i="1"/>
  <c r="P137" i="1"/>
  <c r="Q137" i="1"/>
  <c r="R137" i="1"/>
  <c r="S137" i="1"/>
  <c r="U137" i="1"/>
  <c r="N138" i="1"/>
  <c r="O138" i="1"/>
  <c r="P138" i="1"/>
  <c r="Q138" i="1"/>
  <c r="R138" i="1"/>
  <c r="S138" i="1"/>
  <c r="U138" i="1"/>
  <c r="N139" i="1"/>
  <c r="O139" i="1"/>
  <c r="P139" i="1"/>
  <c r="Q139" i="1"/>
  <c r="R139" i="1"/>
  <c r="S139" i="1"/>
  <c r="U139" i="1"/>
  <c r="N140" i="1"/>
  <c r="O140" i="1"/>
  <c r="P140" i="1"/>
  <c r="Q140" i="1"/>
  <c r="R140" i="1"/>
  <c r="S140" i="1"/>
  <c r="U140" i="1"/>
  <c r="N141" i="1"/>
  <c r="O141" i="1"/>
  <c r="P141" i="1"/>
  <c r="Q141" i="1"/>
  <c r="R141" i="1"/>
  <c r="S141" i="1"/>
  <c r="U141" i="1"/>
  <c r="N142" i="1"/>
  <c r="O142" i="1"/>
  <c r="P142" i="1"/>
  <c r="Q142" i="1"/>
  <c r="R142" i="1"/>
  <c r="S142" i="1"/>
  <c r="U142" i="1"/>
  <c r="N143" i="1"/>
  <c r="O143" i="1"/>
  <c r="P143" i="1"/>
  <c r="Q143" i="1"/>
  <c r="R143" i="1"/>
  <c r="S143" i="1"/>
  <c r="U143" i="1"/>
  <c r="N144" i="1"/>
  <c r="O144" i="1"/>
  <c r="P144" i="1"/>
  <c r="Q144" i="1"/>
  <c r="R144" i="1"/>
  <c r="S144" i="1"/>
  <c r="U144" i="1"/>
  <c r="N145" i="1"/>
  <c r="O145" i="1"/>
  <c r="P145" i="1"/>
  <c r="Q145" i="1"/>
  <c r="R145" i="1"/>
  <c r="S145" i="1"/>
  <c r="U145" i="1"/>
  <c r="N146" i="1"/>
  <c r="O146" i="1"/>
  <c r="P146" i="1"/>
  <c r="Q146" i="1"/>
  <c r="R146" i="1"/>
  <c r="S146" i="1"/>
  <c r="U146" i="1"/>
  <c r="N147" i="1"/>
  <c r="O147" i="1"/>
  <c r="P147" i="1"/>
  <c r="Q147" i="1"/>
  <c r="R147" i="1"/>
  <c r="S147" i="1"/>
  <c r="U147" i="1"/>
  <c r="N148" i="1"/>
  <c r="O148" i="1"/>
  <c r="P148" i="1"/>
  <c r="Q148" i="1"/>
  <c r="R148" i="1"/>
  <c r="S148" i="1"/>
  <c r="U148" i="1"/>
  <c r="N149" i="1"/>
  <c r="O149" i="1"/>
  <c r="P149" i="1"/>
  <c r="Q149" i="1"/>
  <c r="R149" i="1"/>
  <c r="S149" i="1"/>
  <c r="U149" i="1"/>
  <c r="N150" i="1"/>
  <c r="O150" i="1"/>
  <c r="P150" i="1"/>
  <c r="Q150" i="1"/>
  <c r="R150" i="1"/>
  <c r="S150" i="1"/>
  <c r="U150" i="1"/>
  <c r="N151" i="1"/>
  <c r="O151" i="1"/>
  <c r="P151" i="1"/>
  <c r="Q151" i="1"/>
  <c r="R151" i="1"/>
  <c r="S151" i="1"/>
  <c r="U151" i="1"/>
  <c r="N152" i="1"/>
  <c r="O152" i="1"/>
  <c r="P152" i="1"/>
  <c r="Q152" i="1"/>
  <c r="R152" i="1"/>
  <c r="S152" i="1"/>
  <c r="U152" i="1"/>
  <c r="N153" i="1"/>
  <c r="O153" i="1"/>
  <c r="P153" i="1"/>
  <c r="Q153" i="1"/>
  <c r="R153" i="1"/>
  <c r="S153" i="1"/>
  <c r="U153" i="1"/>
  <c r="N154" i="1"/>
  <c r="O154" i="1"/>
  <c r="P154" i="1"/>
  <c r="Q154" i="1"/>
  <c r="R154" i="1"/>
  <c r="S154" i="1"/>
  <c r="U154" i="1"/>
  <c r="N155" i="1"/>
  <c r="O155" i="1"/>
  <c r="P155" i="1"/>
  <c r="Q155" i="1"/>
  <c r="R155" i="1"/>
  <c r="S155" i="1"/>
  <c r="U155" i="1"/>
  <c r="N156" i="1"/>
  <c r="O156" i="1"/>
  <c r="P156" i="1"/>
  <c r="Q156" i="1"/>
  <c r="R156" i="1"/>
  <c r="S156" i="1"/>
  <c r="U156" i="1"/>
  <c r="N157" i="1"/>
  <c r="O157" i="1"/>
  <c r="P157" i="1"/>
  <c r="Q157" i="1"/>
  <c r="R157" i="1"/>
  <c r="S157" i="1"/>
  <c r="U157" i="1"/>
  <c r="N158" i="1"/>
  <c r="O158" i="1"/>
  <c r="P158" i="1"/>
  <c r="Q158" i="1"/>
  <c r="R158" i="1"/>
  <c r="S158" i="1"/>
  <c r="U158" i="1"/>
  <c r="N159" i="1"/>
  <c r="O159" i="1"/>
  <c r="P159" i="1"/>
  <c r="Q159" i="1"/>
  <c r="R159" i="1"/>
  <c r="S159" i="1"/>
  <c r="U159" i="1"/>
  <c r="N160" i="1"/>
  <c r="O160" i="1"/>
  <c r="P160" i="1"/>
  <c r="Q160" i="1"/>
  <c r="R160" i="1"/>
  <c r="S160" i="1"/>
  <c r="U160" i="1"/>
  <c r="N161" i="1"/>
  <c r="O161" i="1"/>
  <c r="P161" i="1"/>
  <c r="Q161" i="1"/>
  <c r="R161" i="1"/>
  <c r="S161" i="1"/>
  <c r="U161" i="1"/>
  <c r="N162" i="1"/>
  <c r="O162" i="1"/>
  <c r="P162" i="1"/>
  <c r="Q162" i="1"/>
  <c r="R162" i="1"/>
  <c r="S162" i="1"/>
  <c r="U162" i="1"/>
  <c r="N163" i="1"/>
  <c r="O163" i="1"/>
  <c r="P163" i="1"/>
  <c r="Q163" i="1"/>
  <c r="R163" i="1"/>
  <c r="S163" i="1"/>
  <c r="U163" i="1"/>
  <c r="N164" i="1"/>
  <c r="O164" i="1"/>
  <c r="P164" i="1"/>
  <c r="Q164" i="1"/>
  <c r="R164" i="1"/>
  <c r="S164" i="1"/>
  <c r="U164" i="1"/>
  <c r="N165" i="1"/>
  <c r="O165" i="1"/>
  <c r="P165" i="1"/>
  <c r="Q165" i="1"/>
  <c r="R165" i="1"/>
  <c r="S165" i="1"/>
  <c r="U165" i="1"/>
  <c r="N166" i="1"/>
  <c r="O166" i="1"/>
  <c r="P166" i="1"/>
  <c r="Q166" i="1"/>
  <c r="R166" i="1"/>
  <c r="S166" i="1"/>
  <c r="U166" i="1"/>
  <c r="N167" i="1"/>
  <c r="O167" i="1"/>
  <c r="P167" i="1"/>
  <c r="Q167" i="1"/>
  <c r="R167" i="1"/>
  <c r="S167" i="1"/>
  <c r="U167" i="1"/>
  <c r="N168" i="1"/>
  <c r="O168" i="1"/>
  <c r="P168" i="1"/>
  <c r="Q168" i="1"/>
  <c r="R168" i="1"/>
  <c r="S168" i="1"/>
  <c r="U168" i="1"/>
  <c r="N169" i="1"/>
  <c r="O169" i="1"/>
  <c r="P169" i="1"/>
  <c r="Q169" i="1"/>
  <c r="R169" i="1"/>
  <c r="S169" i="1"/>
  <c r="U169" i="1"/>
  <c r="N170" i="1"/>
  <c r="O170" i="1"/>
  <c r="P170" i="1"/>
  <c r="Q170" i="1"/>
  <c r="R170" i="1"/>
  <c r="S170" i="1"/>
  <c r="U170" i="1"/>
  <c r="N171" i="1"/>
  <c r="O171" i="1"/>
  <c r="P171" i="1"/>
  <c r="Q171" i="1"/>
  <c r="R171" i="1"/>
  <c r="S171" i="1"/>
  <c r="U171" i="1"/>
  <c r="N172" i="1"/>
  <c r="O172" i="1"/>
  <c r="P172" i="1"/>
  <c r="Q172" i="1"/>
  <c r="R172" i="1"/>
  <c r="S172" i="1"/>
  <c r="U172" i="1"/>
  <c r="N173" i="1"/>
  <c r="O173" i="1"/>
  <c r="P173" i="1"/>
  <c r="Q173" i="1"/>
  <c r="R173" i="1"/>
  <c r="S173" i="1"/>
  <c r="U173" i="1"/>
  <c r="N174" i="1"/>
  <c r="O174" i="1"/>
  <c r="P174" i="1"/>
  <c r="Q174" i="1"/>
  <c r="R174" i="1"/>
  <c r="S174" i="1"/>
  <c r="U174" i="1"/>
  <c r="N175" i="1"/>
  <c r="O175" i="1"/>
  <c r="P175" i="1"/>
  <c r="Q175" i="1"/>
  <c r="R175" i="1"/>
  <c r="S175" i="1"/>
  <c r="U175" i="1"/>
  <c r="N176" i="1"/>
  <c r="O176" i="1"/>
  <c r="P176" i="1"/>
  <c r="Q176" i="1"/>
  <c r="R176" i="1"/>
  <c r="S176" i="1"/>
  <c r="U176" i="1"/>
  <c r="N177" i="1"/>
  <c r="O177" i="1"/>
  <c r="P177" i="1"/>
  <c r="Q177" i="1"/>
  <c r="R177" i="1"/>
  <c r="S177" i="1"/>
  <c r="U177" i="1"/>
  <c r="N178" i="1"/>
  <c r="O178" i="1"/>
  <c r="P178" i="1"/>
  <c r="Q178" i="1"/>
  <c r="R178" i="1"/>
  <c r="S178" i="1"/>
  <c r="U178" i="1"/>
  <c r="N179" i="1"/>
  <c r="O179" i="1"/>
  <c r="P179" i="1"/>
  <c r="Q179" i="1"/>
  <c r="R179" i="1"/>
  <c r="S179" i="1"/>
  <c r="U179" i="1"/>
  <c r="N180" i="1"/>
  <c r="O180" i="1"/>
  <c r="P180" i="1"/>
  <c r="Q180" i="1"/>
  <c r="R180" i="1"/>
  <c r="S180" i="1"/>
  <c r="U180" i="1"/>
  <c r="N181" i="1"/>
  <c r="O181" i="1"/>
  <c r="P181" i="1"/>
  <c r="Q181" i="1"/>
  <c r="R181" i="1"/>
  <c r="S181" i="1"/>
  <c r="U181"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5" i="1"/>
  <c r="AB3" i="1" l="1"/>
  <c r="AG3" i="1"/>
  <c r="AA3" i="1"/>
  <c r="AH3" i="1"/>
  <c r="AF3" i="1"/>
  <c r="AE3" i="1"/>
  <c r="Q3" i="1"/>
  <c r="M3" i="1"/>
</calcChain>
</file>

<file path=xl/sharedStrings.xml><?xml version="1.0" encoding="utf-8"?>
<sst xmlns="http://schemas.openxmlformats.org/spreadsheetml/2006/main" count="3181" uniqueCount="401">
  <si>
    <t>310_07_01</t>
  </si>
  <si>
    <t>309_07_01</t>
  </si>
  <si>
    <t>308_07_01</t>
  </si>
  <si>
    <t>306_07_01</t>
  </si>
  <si>
    <t>302_07_01</t>
  </si>
  <si>
    <t>301_07_01</t>
  </si>
  <si>
    <t>304_07_01</t>
  </si>
  <si>
    <t>303_07_01</t>
  </si>
  <si>
    <t>307_07_01</t>
  </si>
  <si>
    <t>305_07_01</t>
  </si>
  <si>
    <t>069_04_01</t>
  </si>
  <si>
    <t>090_04_01</t>
  </si>
  <si>
    <t>089_01_01</t>
  </si>
  <si>
    <t>071_04_01</t>
  </si>
  <si>
    <t>106_04_01</t>
  </si>
  <si>
    <t>108_04_01</t>
  </si>
  <si>
    <t>147_04_01</t>
  </si>
  <si>
    <t>088_02_01</t>
  </si>
  <si>
    <t>087_04_01</t>
  </si>
  <si>
    <t>023_04_01</t>
  </si>
  <si>
    <t>047_01_01</t>
  </si>
  <si>
    <t>003_04_01</t>
  </si>
  <si>
    <t>042_01_01</t>
  </si>
  <si>
    <t>134_04_01</t>
  </si>
  <si>
    <t>107_04_01</t>
  </si>
  <si>
    <t>105_04_01</t>
  </si>
  <si>
    <t>072_04_01</t>
  </si>
  <si>
    <t>172_04_01</t>
  </si>
  <si>
    <t>048_01_01</t>
  </si>
  <si>
    <t>025_01_01</t>
  </si>
  <si>
    <t>004_04_01</t>
  </si>
  <si>
    <t>131_01_01</t>
  </si>
  <si>
    <t>110_04_01</t>
  </si>
  <si>
    <t>112_04_01</t>
  </si>
  <si>
    <t>130_01_01</t>
  </si>
  <si>
    <t>163_01_01</t>
  </si>
  <si>
    <t>133_01_01</t>
  </si>
  <si>
    <t>170_01_01</t>
  </si>
  <si>
    <t>014_04_01</t>
  </si>
  <si>
    <t>038_04_01</t>
  </si>
  <si>
    <t>039_04_01</t>
  </si>
  <si>
    <t>040_04_01</t>
  </si>
  <si>
    <t>058_04_01</t>
  </si>
  <si>
    <t>060_01_01</t>
  </si>
  <si>
    <t>061_01_01</t>
  </si>
  <si>
    <t>013_04_01</t>
  </si>
  <si>
    <t>076_01_01</t>
  </si>
  <si>
    <t>085_04_01</t>
  </si>
  <si>
    <t>084_05_01</t>
  </si>
  <si>
    <t>059_04_01</t>
  </si>
  <si>
    <t>021_01_01</t>
  </si>
  <si>
    <t>165_01_01</t>
  </si>
  <si>
    <t>111_01_01</t>
  </si>
  <si>
    <t>109_01_01</t>
  </si>
  <si>
    <t>077_01_01</t>
  </si>
  <si>
    <t>080_04_01</t>
  </si>
  <si>
    <t>079_03_01</t>
  </si>
  <si>
    <t>096_01_01</t>
  </si>
  <si>
    <t>137_01_01</t>
  </si>
  <si>
    <t>095_01_01</t>
  </si>
  <si>
    <t>168_01_01</t>
  </si>
  <si>
    <t>092_01_01</t>
  </si>
  <si>
    <t>081_02_01</t>
  </si>
  <si>
    <t>173_01_01</t>
  </si>
  <si>
    <t>157_01_01</t>
  </si>
  <si>
    <t>078_02_01</t>
  </si>
  <si>
    <t>009_01_01</t>
  </si>
  <si>
    <t>171_01_01</t>
  </si>
  <si>
    <t>055_04_01</t>
  </si>
  <si>
    <t>011_04_01</t>
  </si>
  <si>
    <t>012_04_01</t>
  </si>
  <si>
    <t>053_04_01</t>
  </si>
  <si>
    <t>033_04_01</t>
  </si>
  <si>
    <t>010_04_01</t>
  </si>
  <si>
    <t>054_04_01</t>
  </si>
  <si>
    <t>139_01_01</t>
  </si>
  <si>
    <t>034_04_01</t>
  </si>
  <si>
    <t>036_05_01</t>
  </si>
  <si>
    <t>056_04_01</t>
  </si>
  <si>
    <t>138_01_01</t>
  </si>
  <si>
    <t>035_04_01</t>
  </si>
  <si>
    <t>136_01_01</t>
  </si>
  <si>
    <t>113_01_01</t>
  </si>
  <si>
    <t>167_01_01</t>
  </si>
  <si>
    <t>114_03_01</t>
  </si>
  <si>
    <t>094_01_01</t>
  </si>
  <si>
    <t>082_01_01</t>
  </si>
  <si>
    <t>017_04_01</t>
  </si>
  <si>
    <t>065_01_01</t>
  </si>
  <si>
    <t>031_01_01</t>
  </si>
  <si>
    <t>019_04_01</t>
  </si>
  <si>
    <t>018_04_01</t>
  </si>
  <si>
    <t>029_04_01</t>
  </si>
  <si>
    <t>032_04_01</t>
  </si>
  <si>
    <t>030_01_01</t>
  </si>
  <si>
    <t>062_01_01</t>
  </si>
  <si>
    <t>020_04_01</t>
  </si>
  <si>
    <t>066_01_01</t>
  </si>
  <si>
    <t>152_01_01</t>
  </si>
  <si>
    <t>122_02_01</t>
  </si>
  <si>
    <t>126_01_01</t>
  </si>
  <si>
    <t>127_01_01</t>
  </si>
  <si>
    <t>144_01_01</t>
  </si>
  <si>
    <t>141_01_01</t>
  </si>
  <si>
    <t>128_01_01</t>
  </si>
  <si>
    <t>143_01_01</t>
  </si>
  <si>
    <t>145_01_01</t>
  </si>
  <si>
    <t>146_01_01</t>
  </si>
  <si>
    <t>125_01_01</t>
  </si>
  <si>
    <t>124_01_01</t>
  </si>
  <si>
    <t>123_02_01</t>
  </si>
  <si>
    <t>150_01_01</t>
  </si>
  <si>
    <t>063_01_01</t>
  </si>
  <si>
    <t>064_01_01</t>
  </si>
  <si>
    <t>068_01_01</t>
  </si>
  <si>
    <t>067_01_01</t>
  </si>
  <si>
    <t>008_01_01</t>
  </si>
  <si>
    <t>026_04_01</t>
  </si>
  <si>
    <t>005_01_01</t>
  </si>
  <si>
    <t>028_01_01</t>
  </si>
  <si>
    <t>075_01_01</t>
  </si>
  <si>
    <t>049_01_01</t>
  </si>
  <si>
    <t>101_05_01</t>
  </si>
  <si>
    <t>159_01_01</t>
  </si>
  <si>
    <t>100_01_01</t>
  </si>
  <si>
    <t>117_01_01</t>
  </si>
  <si>
    <t>116_05_01</t>
  </si>
  <si>
    <t>102_01_01</t>
  </si>
  <si>
    <t>155_05_01</t>
  </si>
  <si>
    <t>103_01_01</t>
  </si>
  <si>
    <t>118_01_01</t>
  </si>
  <si>
    <t>099_05_01</t>
  </si>
  <si>
    <t>206_07_01</t>
  </si>
  <si>
    <t>207_07_01</t>
  </si>
  <si>
    <t>204_07_01</t>
  </si>
  <si>
    <t>205_07_01</t>
  </si>
  <si>
    <t>208_07_01</t>
  </si>
  <si>
    <t>201_03_01</t>
  </si>
  <si>
    <t>206_03_01</t>
  </si>
  <si>
    <t>202_05_01</t>
  </si>
  <si>
    <t>210_04_01</t>
  </si>
  <si>
    <t>207_02_01</t>
  </si>
  <si>
    <t>204_04_01</t>
  </si>
  <si>
    <t>205_03_01</t>
  </si>
  <si>
    <t>203_01_01</t>
  </si>
  <si>
    <t>209_04_01</t>
  </si>
  <si>
    <t>310_02_05</t>
  </si>
  <si>
    <t>301_02_05</t>
  </si>
  <si>
    <t>303_02_05</t>
  </si>
  <si>
    <t>310_02_03</t>
  </si>
  <si>
    <t>309_02_03</t>
  </si>
  <si>
    <t>308_02_03</t>
  </si>
  <si>
    <t>306_02_03</t>
  </si>
  <si>
    <t>302_02_03</t>
  </si>
  <si>
    <t>301_02_03</t>
  </si>
  <si>
    <t>303_02_03</t>
  </si>
  <si>
    <t>304_02_03</t>
  </si>
  <si>
    <t>305_02_03</t>
  </si>
  <si>
    <t>310_02_04</t>
  </si>
  <si>
    <t>309_02_04</t>
  </si>
  <si>
    <t>308_02_04</t>
  </si>
  <si>
    <t>306_02_04</t>
  </si>
  <si>
    <t>302_02_04</t>
  </si>
  <si>
    <t>301_02_04</t>
  </si>
  <si>
    <t>303_02_04</t>
  </si>
  <si>
    <t>304_02_04</t>
  </si>
  <si>
    <t>305_02_04</t>
  </si>
  <si>
    <t>306_02_08</t>
  </si>
  <si>
    <t>302_02_07</t>
  </si>
  <si>
    <t>303_02_08</t>
  </si>
  <si>
    <t>Note that certain sample ID combinations are restricted. For example, sachet water is not sampled from households; therefore, the sachet source code must not be used with a Caregiver ID. Similarly, upstream and downstream location codes are not applicable to non-river water sources. These restrictions must be observed to maintain data integrity and consistency.</t>
  </si>
  <si>
    <r>
      <t xml:space="preserve">All sample IDs follow a standardized format: </t>
    </r>
    <r>
      <rPr>
        <b/>
        <sz val="12"/>
        <rFont val="Times New Roman"/>
        <family val="1"/>
      </rPr>
      <t>BaselineIdentifier_SOURCE_Season/Location</t>
    </r>
    <r>
      <rPr>
        <sz val="12"/>
        <rFont val="Times New Roman"/>
        <family val="1"/>
      </rPr>
      <t xml:space="preserve">. The </t>
    </r>
    <r>
      <rPr>
        <i/>
        <sz val="12"/>
        <rFont val="Times New Roman"/>
        <family val="1"/>
      </rPr>
      <t>BaselineIdentifier</t>
    </r>
    <r>
      <rPr>
        <sz val="12"/>
        <rFont val="Times New Roman"/>
        <family val="1"/>
      </rPr>
      <t xml:space="preserve"> corresponds to the unique ID assigned during the baseline survey—Caregiver ID for household samples, School ID for school samples, and Village ID for community samples. If the full baseline ID is excessively long, a shortened version will be used. The </t>
    </r>
    <r>
      <rPr>
        <i/>
        <sz val="12"/>
        <rFont val="Times New Roman"/>
        <family val="1"/>
      </rPr>
      <t>SOURCE</t>
    </r>
    <r>
      <rPr>
        <sz val="12"/>
        <rFont val="Times New Roman"/>
        <family val="1"/>
      </rPr>
      <t xml:space="preserve"> indicates the type of water source (e.g., borehole, sachet water), and </t>
    </r>
    <r>
      <rPr>
        <i/>
        <sz val="12"/>
        <rFont val="Times New Roman"/>
        <family val="1"/>
      </rPr>
      <t>Season/Location</t>
    </r>
    <r>
      <rPr>
        <sz val="12"/>
        <rFont val="Times New Roman"/>
        <family val="1"/>
      </rPr>
      <t xml:space="preserve"> reflects either seasonal use (e.g., dry season) or the specific river sampling location (e.g., upstream, downstream). </t>
    </r>
  </si>
  <si>
    <t>LAB ID</t>
  </si>
  <si>
    <t>LM25-GH1</t>
  </si>
  <si>
    <t>LM25-GH2</t>
  </si>
  <si>
    <t>LM25-GH3</t>
  </si>
  <si>
    <t>LM25-GH4</t>
  </si>
  <si>
    <t>LM25-GH5</t>
  </si>
  <si>
    <t>LM25-GH6</t>
  </si>
  <si>
    <t>LM25-GH7</t>
  </si>
  <si>
    <t>LM25-GH8</t>
  </si>
  <si>
    <t>LM25-GH9</t>
  </si>
  <si>
    <t>LM25-GH10</t>
  </si>
  <si>
    <t>LM25-GH11</t>
  </si>
  <si>
    <t>LM25-GH12</t>
  </si>
  <si>
    <t>LM25-GH13</t>
  </si>
  <si>
    <t>LM25-GH14</t>
  </si>
  <si>
    <t>LM25-GH15</t>
  </si>
  <si>
    <t>LM25-GH16</t>
  </si>
  <si>
    <t>LM25-GH17</t>
  </si>
  <si>
    <t>LM25-GH18</t>
  </si>
  <si>
    <t>LM25-GH19</t>
  </si>
  <si>
    <t>LM25-GH20</t>
  </si>
  <si>
    <t>LM25-GH21</t>
  </si>
  <si>
    <t>LM25-GH22</t>
  </si>
  <si>
    <t>LM25-GH23</t>
  </si>
  <si>
    <t>LM25-GH24</t>
  </si>
  <si>
    <t>LM25-GH25</t>
  </si>
  <si>
    <t>LM25-GH26</t>
  </si>
  <si>
    <t>LM25-GH27</t>
  </si>
  <si>
    <t>LM25-GH28</t>
  </si>
  <si>
    <t>LM25-GH29</t>
  </si>
  <si>
    <t>LM25-GH30</t>
  </si>
  <si>
    <t>LM25-GH31</t>
  </si>
  <si>
    <t>LM25-GH32</t>
  </si>
  <si>
    <t>LM25-GH33</t>
  </si>
  <si>
    <t>LM25-GH34</t>
  </si>
  <si>
    <t>LM25-GH35</t>
  </si>
  <si>
    <t>LM25-GH36</t>
  </si>
  <si>
    <t>LM25-GH37</t>
  </si>
  <si>
    <t>LM25-GH38</t>
  </si>
  <si>
    <t>LM25-GH39</t>
  </si>
  <si>
    <t>LM25-GH40</t>
  </si>
  <si>
    <t>LM25-GH41</t>
  </si>
  <si>
    <t>LM25-GH42</t>
  </si>
  <si>
    <t>LM25-GH43</t>
  </si>
  <si>
    <t>LM25-GH44</t>
  </si>
  <si>
    <t>LM25-GH45</t>
  </si>
  <si>
    <t>LM25-GH46</t>
  </si>
  <si>
    <t>LM25-GH47</t>
  </si>
  <si>
    <t>LM25-GH48</t>
  </si>
  <si>
    <t>LM25-GH49</t>
  </si>
  <si>
    <t>LM25-GH50</t>
  </si>
  <si>
    <t>LM25-GH51</t>
  </si>
  <si>
    <t>LM25-GH52</t>
  </si>
  <si>
    <t>LM25-GH53</t>
  </si>
  <si>
    <t>LM25-GH54</t>
  </si>
  <si>
    <t>LM25-GH55</t>
  </si>
  <si>
    <t>LM25-GH56</t>
  </si>
  <si>
    <t>LM25-GH57</t>
  </si>
  <si>
    <t>LM25-GH58</t>
  </si>
  <si>
    <t>LM25-GH59</t>
  </si>
  <si>
    <t>LM25-GH60</t>
  </si>
  <si>
    <t>LM25-GH61</t>
  </si>
  <si>
    <t>LM25-GH62</t>
  </si>
  <si>
    <t>LM25-GH63</t>
  </si>
  <si>
    <t>LM25-GH64</t>
  </si>
  <si>
    <t>LM25-GH65</t>
  </si>
  <si>
    <t>LM25-GH66</t>
  </si>
  <si>
    <t>LM25-GH67</t>
  </si>
  <si>
    <t>LM25-GH68</t>
  </si>
  <si>
    <t>LM25-GH69</t>
  </si>
  <si>
    <t>LM25-GH70</t>
  </si>
  <si>
    <t>LM25-GH71</t>
  </si>
  <si>
    <t>LM25-GH72</t>
  </si>
  <si>
    <t>LM25-GH73</t>
  </si>
  <si>
    <t>LM25-GH74</t>
  </si>
  <si>
    <t>LM25-GH75</t>
  </si>
  <si>
    <t>LM25-GH76</t>
  </si>
  <si>
    <t>LM25-GH77</t>
  </si>
  <si>
    <t>LM25-GH78</t>
  </si>
  <si>
    <t>LM25-GH79</t>
  </si>
  <si>
    <t>LM25-GH80</t>
  </si>
  <si>
    <t>LM25-GH81</t>
  </si>
  <si>
    <t>LM25-GH82</t>
  </si>
  <si>
    <t>LM25-GH83</t>
  </si>
  <si>
    <t>LM25-GH84</t>
  </si>
  <si>
    <t>LM25-GH85</t>
  </si>
  <si>
    <t>LM25-GH86</t>
  </si>
  <si>
    <t>LM25-GH87</t>
  </si>
  <si>
    <t>LM25-GH88</t>
  </si>
  <si>
    <t>LM25-GH89</t>
  </si>
  <si>
    <t>LM25-GH90</t>
  </si>
  <si>
    <t>LM25-GH91</t>
  </si>
  <si>
    <t>LM25-GH92</t>
  </si>
  <si>
    <t>LM25-GH93</t>
  </si>
  <si>
    <t>LM25-GH94</t>
  </si>
  <si>
    <t>LM25-GH95</t>
  </si>
  <si>
    <t>LM25-GH96</t>
  </si>
  <si>
    <t>LM25-GH97</t>
  </si>
  <si>
    <t>LM25-GH98</t>
  </si>
  <si>
    <t>LM25-GH99</t>
  </si>
  <si>
    <t>LM25-GH100</t>
  </si>
  <si>
    <t>LM25-GH101</t>
  </si>
  <si>
    <t>LM25-GH102</t>
  </si>
  <si>
    <t>LM25-GH103</t>
  </si>
  <si>
    <t>LM25-GH104</t>
  </si>
  <si>
    <t>LM25-GH105</t>
  </si>
  <si>
    <t>LM25-GH106</t>
  </si>
  <si>
    <t>LM25-GH107</t>
  </si>
  <si>
    <t>LM25-GH108</t>
  </si>
  <si>
    <t>LM25-GH109</t>
  </si>
  <si>
    <t>LM25-GH110</t>
  </si>
  <si>
    <t>LM25-GH111</t>
  </si>
  <si>
    <t>LM25-GH112</t>
  </si>
  <si>
    <t>LM25-GH113</t>
  </si>
  <si>
    <t>LM25-GH114</t>
  </si>
  <si>
    <t>LM25-GH115</t>
  </si>
  <si>
    <t>LM25-GH116</t>
  </si>
  <si>
    <t>LM25-GH117</t>
  </si>
  <si>
    <t>LM25-GH118</t>
  </si>
  <si>
    <t>LM25-GH119</t>
  </si>
  <si>
    <t>LM25-GH120</t>
  </si>
  <si>
    <t>LM25-GH121</t>
  </si>
  <si>
    <t>LM25-GH122</t>
  </si>
  <si>
    <t>LM25-GH123</t>
  </si>
  <si>
    <t>LM25-GH124</t>
  </si>
  <si>
    <t>LM25-GH125</t>
  </si>
  <si>
    <t>LM25-GH126</t>
  </si>
  <si>
    <t>LM25-GH127</t>
  </si>
  <si>
    <t>LM25-GH128</t>
  </si>
  <si>
    <t>LM25-GH129</t>
  </si>
  <si>
    <t>LM25-GH130</t>
  </si>
  <si>
    <t>LM25-GH131</t>
  </si>
  <si>
    <t>LM25-GH132</t>
  </si>
  <si>
    <t>LM25-GH133</t>
  </si>
  <si>
    <t>LM25-GH134</t>
  </si>
  <si>
    <t>LM25-GH135</t>
  </si>
  <si>
    <t>LM25-GH136</t>
  </si>
  <si>
    <t>LM25-GH137</t>
  </si>
  <si>
    <t>LM25-GH138</t>
  </si>
  <si>
    <t>LM25-GH139</t>
  </si>
  <si>
    <t>LM25-GH140</t>
  </si>
  <si>
    <t>LM25-GH141</t>
  </si>
  <si>
    <t>LM25-GH142</t>
  </si>
  <si>
    <t>LM25-GH143</t>
  </si>
  <si>
    <t>LM25-GH144</t>
  </si>
  <si>
    <t>LM25-GH145</t>
  </si>
  <si>
    <t>LM25-GH146</t>
  </si>
  <si>
    <t>LM25-GH147</t>
  </si>
  <si>
    <t>LM25-GH148</t>
  </si>
  <si>
    <t>LM25-GH149</t>
  </si>
  <si>
    <t>LM25-GH150</t>
  </si>
  <si>
    <t>LM25-GH151</t>
  </si>
  <si>
    <t>LM25-GH152</t>
  </si>
  <si>
    <t>LM25-GH153</t>
  </si>
  <si>
    <t>LM25-GH154</t>
  </si>
  <si>
    <t>LM25-GH155</t>
  </si>
  <si>
    <t>LM25-GH156</t>
  </si>
  <si>
    <t>LM25-GH157</t>
  </si>
  <si>
    <t>LM25-GH158</t>
  </si>
  <si>
    <t>LM25-GH159</t>
  </si>
  <si>
    <t>LM25-GH160</t>
  </si>
  <si>
    <t>LM25-GH161</t>
  </si>
  <si>
    <t>LM25-GH162</t>
  </si>
  <si>
    <t>LM25-GH163</t>
  </si>
  <si>
    <t>LM25-GH164</t>
  </si>
  <si>
    <t>LM25-GH165</t>
  </si>
  <si>
    <t>LM25-GH166</t>
  </si>
  <si>
    <t>LM25-GH167</t>
  </si>
  <si>
    <t>LM25-GH168</t>
  </si>
  <si>
    <t>LM25-GH169</t>
  </si>
  <si>
    <t>LM25-GH170</t>
  </si>
  <si>
    <t>LM25-GH171</t>
  </si>
  <si>
    <t>LM25-GH172</t>
  </si>
  <si>
    <t>LM25-GH173</t>
  </si>
  <si>
    <t>061_05_01</t>
  </si>
  <si>
    <t>004_01_01</t>
  </si>
  <si>
    <t>038_01_01</t>
  </si>
  <si>
    <t>SAMPLE ID</t>
  </si>
  <si>
    <t>LOQ:</t>
  </si>
  <si>
    <t>MDL:</t>
  </si>
  <si>
    <t>Pb (ug/L)</t>
  </si>
  <si>
    <t>Hg (ug/L)</t>
  </si>
  <si>
    <t>Zn (ug/L)</t>
  </si>
  <si>
    <t>Cd (ug/L)</t>
  </si>
  <si>
    <t>Mn (ug/L)</t>
  </si>
  <si>
    <t>Fe (ug/L)</t>
  </si>
  <si>
    <t>Cr (ug/L)</t>
  </si>
  <si>
    <t>Al (ug/L)</t>
  </si>
  <si>
    <t>Cu (ug/L)</t>
  </si>
  <si>
    <t>&lt;9.598</t>
  </si>
  <si>
    <t>&lt;3.698</t>
  </si>
  <si>
    <t>&lt;2.820</t>
  </si>
  <si>
    <t>&lt;31.369</t>
  </si>
  <si>
    <t>&lt;8.469</t>
  </si>
  <si>
    <t>&lt;10.553</t>
  </si>
  <si>
    <t>&lt;5.354</t>
  </si>
  <si>
    <t>&lt;2.953</t>
  </si>
  <si>
    <t>&lt;3.828</t>
  </si>
  <si>
    <t>&lt;4.750</t>
  </si>
  <si>
    <t>&lt;5.278</t>
  </si>
  <si>
    <t>&lt;2.674</t>
  </si>
  <si>
    <t>&lt;3.282</t>
  </si>
  <si>
    <t>&lt;28.317</t>
  </si>
  <si>
    <t>&lt;6.977</t>
  </si>
  <si>
    <t>&lt;29.020</t>
  </si>
  <si>
    <t>&lt;4.814</t>
  </si>
  <si>
    <t>FIELD BLANK</t>
  </si>
  <si>
    <t>ACID DUPLICATE</t>
  </si>
  <si>
    <t>Al, lower (ug/L)</t>
  </si>
  <si>
    <t>Al, upper (ug/L)</t>
  </si>
  <si>
    <t>EPA threshold</t>
  </si>
  <si>
    <t>Count of Above threshold</t>
  </si>
  <si>
    <t>WHO Threshold</t>
  </si>
  <si>
    <t>NA</t>
  </si>
  <si>
    <t>WHO Guideline</t>
  </si>
  <si>
    <t>EPA Enforceable &amp; Non-Enforceable Threshold</t>
  </si>
  <si>
    <t>Link: Table A3.2: https://iris.who.int/server/api/core/bitstreams/69c17edd-ee26-425b-9d34-33799377e886/content#page=357.14</t>
  </si>
  <si>
    <t>link: https://www.epa.gov/sdwa/secondary-drinking-water-standards-guidance-nuisance-chemicals</t>
  </si>
  <si>
    <t>link: https://www.epa.gov/ground-water-and-drinking-water/national-primary-drinking-water-regulations</t>
  </si>
  <si>
    <t>Batch</t>
  </si>
  <si>
    <t>Pb</t>
  </si>
  <si>
    <t>Hg</t>
  </si>
  <si>
    <t>Zn</t>
  </si>
  <si>
    <t>Cd</t>
  </si>
  <si>
    <t>Mn</t>
  </si>
  <si>
    <t>Fe</t>
  </si>
  <si>
    <t>Cr</t>
  </si>
  <si>
    <t>Al</t>
  </si>
  <si>
    <t>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</si>
</sst>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Arial"/>
    </font>
    <font>
      <sz val="12"/>
      <name val="Times New Roman"/>
      <family val="1"/>
    </font>
    <font>
      <b/>
      <sz val="12"/>
      <name val="Times New Roman"/>
      <family val="1"/>
    </font>
    <font>
      <i/>
      <sz val="12"/>
      <name val="Times New Roman"/>
      <family val="1"/>
    </font>
    <font>
      <sz val="11"/>
      <name val="Aptos Narrow"/>
      <family val="2"/>
      <scheme val="minor"/>
    </font>
    <font>
      <b/>
      <sz val="11"/>
      <name val="Aptos Narrow"/>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3">
    <xf numFmtId="0" fontId="0" fillId="0" borderId="0" xfId="0"/>
    <xf numFmtId="0" fontId="4" fillId="0" borderId="0" xfId="0" applyFont="1"/>
    <xf numFmtId="0" fontId="5" fillId="0" borderId="0" xfId="0" applyFont="1"/>
    <xf numFmtId="0" fontId="5" fillId="0" borderId="0" xfId="0" applyFont="1" applyAlignment="1">
      <alignment horizontal="right"/>
    </xf>
    <xf numFmtId="0" fontId="4" fillId="0" borderId="1" xfId="0" applyFont="1" applyBorder="1"/>
    <xf numFmtId="0" fontId="4" fillId="0" borderId="2" xfId="0" applyFont="1" applyBorder="1"/>
    <xf numFmtId="0" fontId="5" fillId="0" borderId="2" xfId="0" applyFont="1" applyBorder="1" applyAlignment="1">
      <alignment horizontal="right"/>
    </xf>
    <xf numFmtId="164" fontId="4" fillId="0" borderId="0" xfId="0" applyNumberFormat="1" applyFont="1"/>
    <xf numFmtId="164" fontId="4" fillId="0" borderId="2" xfId="0" applyNumberFormat="1" applyFont="1" applyBorder="1"/>
    <xf numFmtId="164" fontId="4" fillId="0" borderId="1" xfId="0" applyNumberFormat="1" applyFont="1" applyBorder="1"/>
    <xf numFmtId="0" fontId="5" fillId="0" borderId="3" xfId="0" applyFont="1" applyBorder="1"/>
    <xf numFmtId="0" fontId="4" fillId="0" borderId="2" xfId="0" applyFont="1" applyBorder="1" applyAlignment="1">
      <alignment horizontal="center"/>
    </xf>
    <xf numFmtId="0" fontId="1" fillId="0" borderId="0" xfId="0" applyFont="1" applyAlignment="1">
      <alignment horizontal="left" vertical="top" wrapText="1"/>
    </xf>
  </cellXfs>
  <cellStyles count="1">
    <cellStyle name="Normal" xfId="0" builtinId="0"/>
  </cellStyles>
  <dxfs count="6">
    <dxf>
      <font>
        <b/>
        <i val="0"/>
      </font>
      <fill>
        <patternFill>
          <bgColor rgb="FFFF0000"/>
        </patternFill>
      </fill>
    </dxf>
    <dxf>
      <font>
        <color theme="0" tint="-0.34998626667073579"/>
      </font>
    </dxf>
    <dxf>
      <font>
        <b/>
        <i val="0"/>
      </font>
      <fill>
        <patternFill>
          <bgColor rgb="FFFF0000"/>
        </patternFill>
      </fill>
    </dxf>
    <dxf>
      <font>
        <color theme="0" tint="-0.34998626667073579"/>
      </font>
    </dxf>
    <dxf>
      <font>
        <color theme="0" tint="-0.34998626667073579"/>
      </font>
    </dxf>
    <dxf>
      <font>
        <color theme="0"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243840</xdr:colOff>
      <xdr:row>0</xdr:row>
      <xdr:rowOff>38100</xdr:rowOff>
    </xdr:from>
    <xdr:to>
      <xdr:col>10</xdr:col>
      <xdr:colOff>100221</xdr:colOff>
      <xdr:row>17</xdr:row>
      <xdr:rowOff>3412</xdr:rowOff>
    </xdr:to>
    <xdr:pic>
      <xdr:nvPicPr>
        <xdr:cNvPr id="2" name="Picture 1">
          <a:extLst>
            <a:ext uri="{FF2B5EF4-FFF2-40B4-BE49-F238E27FC236}">
              <a16:creationId xmlns:a16="http://schemas.microsoft.com/office/drawing/2014/main" id="{891F0491-3D1F-9327-5E7D-094A2E76EAF8}"/>
            </a:ext>
          </a:extLst>
        </xdr:cNvPr>
        <xdr:cNvPicPr>
          <a:picLocks noChangeAspect="1"/>
        </xdr:cNvPicPr>
      </xdr:nvPicPr>
      <xdr:blipFill>
        <a:blip xmlns:r="http://schemas.openxmlformats.org/officeDocument/2006/relationships" r:embed="rId1"/>
        <a:stretch>
          <a:fillRect/>
        </a:stretch>
      </xdr:blipFill>
      <xdr:spPr>
        <a:xfrm>
          <a:off x="243840" y="38100"/>
          <a:ext cx="5952381" cy="31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503924</xdr:colOff>
      <xdr:row>41</xdr:row>
      <xdr:rowOff>113407</xdr:rowOff>
    </xdr:to>
    <xdr:pic>
      <xdr:nvPicPr>
        <xdr:cNvPr id="2" name="Picture 1">
          <a:extLst>
            <a:ext uri="{FF2B5EF4-FFF2-40B4-BE49-F238E27FC236}">
              <a16:creationId xmlns:a16="http://schemas.microsoft.com/office/drawing/2014/main" id="{EE1B3C8E-D345-6588-2847-68AB620C80C1}"/>
            </a:ext>
          </a:extLst>
        </xdr:cNvPr>
        <xdr:cNvPicPr>
          <a:picLocks noChangeAspect="1"/>
        </xdr:cNvPicPr>
      </xdr:nvPicPr>
      <xdr:blipFill>
        <a:blip xmlns:r="http://schemas.openxmlformats.org/officeDocument/2006/relationships" r:embed="rId1"/>
        <a:stretch>
          <a:fillRect/>
        </a:stretch>
      </xdr:blipFill>
      <xdr:spPr>
        <a:xfrm>
          <a:off x="0" y="0"/>
          <a:ext cx="7209524" cy="71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512076</xdr:colOff>
      <xdr:row>51</xdr:row>
      <xdr:rowOff>65574</xdr:rowOff>
    </xdr:to>
    <xdr:pic>
      <xdr:nvPicPr>
        <xdr:cNvPr id="2" name="Picture 1">
          <a:extLst>
            <a:ext uri="{FF2B5EF4-FFF2-40B4-BE49-F238E27FC236}">
              <a16:creationId xmlns:a16="http://schemas.microsoft.com/office/drawing/2014/main" id="{8BC1BB65-42D1-41F7-C6E2-60B1F43875BC}"/>
            </a:ext>
          </a:extLst>
        </xdr:cNvPr>
        <xdr:cNvPicPr>
          <a:picLocks noChangeAspect="1"/>
        </xdr:cNvPicPr>
      </xdr:nvPicPr>
      <xdr:blipFill>
        <a:blip xmlns:r="http://schemas.openxmlformats.org/officeDocument/2006/relationships" r:embed="rId1"/>
        <a:stretch>
          <a:fillRect/>
        </a:stretch>
      </xdr:blipFill>
      <xdr:spPr>
        <a:xfrm>
          <a:off x="0" y="0"/>
          <a:ext cx="18190476" cy="88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597409</xdr:colOff>
      <xdr:row>33</xdr:row>
      <xdr:rowOff>22150</xdr:rowOff>
    </xdr:to>
    <xdr:pic>
      <xdr:nvPicPr>
        <xdr:cNvPr id="2" name="Picture 1">
          <a:extLst>
            <a:ext uri="{FF2B5EF4-FFF2-40B4-BE49-F238E27FC236}">
              <a16:creationId xmlns:a16="http://schemas.microsoft.com/office/drawing/2014/main" id="{72A4CB44-075D-1FB7-9E32-EC668C4EE386}"/>
            </a:ext>
          </a:extLst>
        </xdr:cNvPr>
        <xdr:cNvPicPr>
          <a:picLocks noChangeAspect="1"/>
        </xdr:cNvPicPr>
      </xdr:nvPicPr>
      <xdr:blipFill>
        <a:blip xmlns:r="http://schemas.openxmlformats.org/officeDocument/2006/relationships" r:embed="rId1"/>
        <a:stretch>
          <a:fillRect/>
        </a:stretch>
      </xdr:blipFill>
      <xdr:spPr>
        <a:xfrm>
          <a:off x="0" y="0"/>
          <a:ext cx="6083809" cy="568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9DCA-2753-4909-A724-38374EEAC3E2}">
  <dimension ref="A1:L175"/>
  <sheetViews>
    <sheetView tabSelected="1" workbookViewId="0">
      <selection activeCell="F2" sqref="F2"/>
    </sheetView>
  </sheetViews>
  <sheetFormatPr defaultRowHeight="13.2" x14ac:dyDescent="0.25"/>
  <sheetData>
    <row r="1" spans="1:12" ht="14.4" x14ac:dyDescent="0.3">
      <c r="A1" s="10" t="s">
        <v>172</v>
      </c>
      <c r="B1" s="10" t="s">
        <v>349</v>
      </c>
      <c r="C1" s="10" t="s">
        <v>391</v>
      </c>
      <c r="D1" s="10" t="s">
        <v>392</v>
      </c>
      <c r="E1" s="10" t="s">
        <v>393</v>
      </c>
      <c r="F1" s="10" t="s">
        <v>394</v>
      </c>
      <c r="G1" s="10" t="s">
        <v>395</v>
      </c>
      <c r="H1" s="10" t="s">
        <v>396</v>
      </c>
      <c r="I1" s="10" t="s">
        <v>397</v>
      </c>
      <c r="J1" s="10" t="s">
        <v>398</v>
      </c>
      <c r="K1" s="10" t="s">
        <v>399</v>
      </c>
      <c r="L1" s="10" t="s">
        <v>400</v>
      </c>
    </row>
    <row r="2" spans="1:12" ht="14.4" x14ac:dyDescent="0.3">
      <c r="A2" s="1" t="s">
        <v>173</v>
      </c>
      <c r="B2" s="1" t="s">
        <v>21</v>
      </c>
      <c r="C2" s="1">
        <v>1</v>
      </c>
      <c r="D2" s="7" t="s">
        <v>361</v>
      </c>
      <c r="E2" s="7" t="s">
        <v>362</v>
      </c>
      <c r="F2" s="7">
        <v>37.881889629731802</v>
      </c>
      <c r="G2" s="7" t="s">
        <v>363</v>
      </c>
      <c r="H2" s="7">
        <v>14.193342428187799</v>
      </c>
      <c r="I2" s="7" t="s">
        <v>364</v>
      </c>
      <c r="J2" s="7" t="s">
        <v>365</v>
      </c>
      <c r="K2" s="7" t="s">
        <v>366</v>
      </c>
      <c r="L2" s="7" t="s">
        <v>367</v>
      </c>
    </row>
    <row r="3" spans="1:12" ht="14.4" x14ac:dyDescent="0.3">
      <c r="A3" s="1" t="s">
        <v>174</v>
      </c>
      <c r="B3" s="1" t="s">
        <v>30</v>
      </c>
      <c r="C3" s="1">
        <v>1</v>
      </c>
      <c r="D3" s="7" t="s">
        <v>361</v>
      </c>
      <c r="E3" s="7" t="s">
        <v>362</v>
      </c>
      <c r="F3" s="7">
        <v>66.820895746192093</v>
      </c>
      <c r="G3" s="7" t="s">
        <v>363</v>
      </c>
      <c r="H3" s="7">
        <v>39.662238157480601</v>
      </c>
      <c r="I3" s="7" t="s">
        <v>364</v>
      </c>
      <c r="J3" s="7" t="s">
        <v>365</v>
      </c>
      <c r="K3" s="7" t="s">
        <v>366</v>
      </c>
      <c r="L3" s="7">
        <v>25.432358583018502</v>
      </c>
    </row>
    <row r="4" spans="1:12" ht="14.4" x14ac:dyDescent="0.3">
      <c r="A4" s="1" t="s">
        <v>175</v>
      </c>
      <c r="B4" s="1" t="s">
        <v>118</v>
      </c>
      <c r="C4" s="1">
        <v>1</v>
      </c>
      <c r="D4" s="7" t="s">
        <v>361</v>
      </c>
      <c r="E4" s="7" t="s">
        <v>362</v>
      </c>
      <c r="F4" s="7">
        <v>32.8212601176429</v>
      </c>
      <c r="G4" s="7" t="s">
        <v>363</v>
      </c>
      <c r="H4" s="7">
        <v>15.4696581684442</v>
      </c>
      <c r="I4" s="7" t="s">
        <v>364</v>
      </c>
      <c r="J4" s="7" t="s">
        <v>365</v>
      </c>
      <c r="K4" s="7" t="s">
        <v>366</v>
      </c>
      <c r="L4" s="7" t="s">
        <v>367</v>
      </c>
    </row>
    <row r="5" spans="1:12" ht="14.4" x14ac:dyDescent="0.3">
      <c r="A5" s="1" t="s">
        <v>176</v>
      </c>
      <c r="B5" s="1" t="s">
        <v>116</v>
      </c>
      <c r="C5" s="1">
        <v>1</v>
      </c>
      <c r="D5" s="7" t="s">
        <v>361</v>
      </c>
      <c r="E5" s="7" t="s">
        <v>362</v>
      </c>
      <c r="F5" s="7">
        <v>41.126675938275298</v>
      </c>
      <c r="G5" s="7" t="s">
        <v>363</v>
      </c>
      <c r="H5" s="7">
        <v>4.8619831612875499</v>
      </c>
      <c r="I5" s="7" t="s">
        <v>364</v>
      </c>
      <c r="J5" s="7" t="s">
        <v>365</v>
      </c>
      <c r="K5" s="7" t="s">
        <v>366</v>
      </c>
      <c r="L5" s="7">
        <v>6.3976408039298196</v>
      </c>
    </row>
    <row r="6" spans="1:12" ht="14.4" x14ac:dyDescent="0.3">
      <c r="A6" s="1" t="s">
        <v>177</v>
      </c>
      <c r="B6" s="1" t="s">
        <v>66</v>
      </c>
      <c r="C6" s="1">
        <v>1</v>
      </c>
      <c r="D6" s="7" t="s">
        <v>361</v>
      </c>
      <c r="E6" s="7" t="s">
        <v>362</v>
      </c>
      <c r="F6" s="7">
        <v>78.059637797949193</v>
      </c>
      <c r="G6" s="7" t="s">
        <v>363</v>
      </c>
      <c r="H6" s="7">
        <v>68.786856158395395</v>
      </c>
      <c r="I6" s="7" t="s">
        <v>364</v>
      </c>
      <c r="J6" s="7" t="s">
        <v>365</v>
      </c>
      <c r="K6" s="7">
        <v>77.185861930527807</v>
      </c>
      <c r="L6" s="7">
        <v>15.7544977741226</v>
      </c>
    </row>
    <row r="7" spans="1:12" ht="14.4" x14ac:dyDescent="0.3">
      <c r="A7" s="1" t="s">
        <v>178</v>
      </c>
      <c r="B7" s="1" t="s">
        <v>73</v>
      </c>
      <c r="C7" s="1">
        <v>1</v>
      </c>
      <c r="D7" s="7" t="s">
        <v>361</v>
      </c>
      <c r="E7" s="7" t="s">
        <v>362</v>
      </c>
      <c r="F7" s="7">
        <v>74.261785391622894</v>
      </c>
      <c r="G7" s="7" t="s">
        <v>363</v>
      </c>
      <c r="H7" s="7">
        <v>4.2684449923372503</v>
      </c>
      <c r="I7" s="7" t="s">
        <v>364</v>
      </c>
      <c r="J7" s="7" t="s">
        <v>365</v>
      </c>
      <c r="K7" s="7" t="s">
        <v>366</v>
      </c>
      <c r="L7" s="7" t="s">
        <v>367</v>
      </c>
    </row>
    <row r="8" spans="1:12" ht="14.4" x14ac:dyDescent="0.3">
      <c r="A8" s="1" t="s">
        <v>179</v>
      </c>
      <c r="B8" s="1" t="s">
        <v>69</v>
      </c>
      <c r="C8" s="1">
        <v>1</v>
      </c>
      <c r="D8" s="7" t="s">
        <v>361</v>
      </c>
      <c r="E8" s="7" t="s">
        <v>362</v>
      </c>
      <c r="F8" s="7">
        <v>18.2630936177971</v>
      </c>
      <c r="G8" s="7" t="s">
        <v>363</v>
      </c>
      <c r="H8" s="7">
        <v>69.490180192701004</v>
      </c>
      <c r="I8" s="7" t="s">
        <v>364</v>
      </c>
      <c r="J8" s="7" t="s">
        <v>365</v>
      </c>
      <c r="K8" s="7" t="s">
        <v>366</v>
      </c>
      <c r="L8" s="7">
        <v>8.6699304114157592</v>
      </c>
    </row>
    <row r="9" spans="1:12" ht="14.4" x14ac:dyDescent="0.3">
      <c r="A9" s="1" t="s">
        <v>180</v>
      </c>
      <c r="B9" s="1" t="s">
        <v>70</v>
      </c>
      <c r="C9" s="1">
        <v>1</v>
      </c>
      <c r="D9" s="7" t="s">
        <v>361</v>
      </c>
      <c r="E9" s="7" t="s">
        <v>362</v>
      </c>
      <c r="F9" s="7">
        <v>10.8116212361629</v>
      </c>
      <c r="G9" s="7" t="s">
        <v>363</v>
      </c>
      <c r="H9" s="7" t="s">
        <v>368</v>
      </c>
      <c r="I9" s="7" t="s">
        <v>364</v>
      </c>
      <c r="J9" s="7" t="s">
        <v>365</v>
      </c>
      <c r="K9" s="7" t="s">
        <v>366</v>
      </c>
      <c r="L9" s="7" t="s">
        <v>367</v>
      </c>
    </row>
    <row r="10" spans="1:12" ht="14.4" x14ac:dyDescent="0.3">
      <c r="A10" s="1" t="s">
        <v>181</v>
      </c>
      <c r="B10" s="1" t="s">
        <v>45</v>
      </c>
      <c r="C10" s="1">
        <v>1</v>
      </c>
      <c r="D10" s="7" t="s">
        <v>361</v>
      </c>
      <c r="E10" s="7" t="s">
        <v>362</v>
      </c>
      <c r="F10" s="7">
        <v>83.942866776871</v>
      </c>
      <c r="G10" s="7" t="s">
        <v>363</v>
      </c>
      <c r="H10" s="7">
        <v>22.515251778372601</v>
      </c>
      <c r="I10" s="7" t="s">
        <v>364</v>
      </c>
      <c r="J10" s="7" t="s">
        <v>365</v>
      </c>
      <c r="K10" s="7" t="s">
        <v>366</v>
      </c>
      <c r="L10" s="7" t="s">
        <v>367</v>
      </c>
    </row>
    <row r="11" spans="1:12" ht="14.4" x14ac:dyDescent="0.3">
      <c r="A11" s="1" t="s">
        <v>182</v>
      </c>
      <c r="B11" s="1" t="s">
        <v>38</v>
      </c>
      <c r="C11" s="1">
        <v>1</v>
      </c>
      <c r="D11" s="7" t="s">
        <v>361</v>
      </c>
      <c r="E11" s="7" t="s">
        <v>362</v>
      </c>
      <c r="F11" s="7">
        <v>34.931087617816601</v>
      </c>
      <c r="G11" s="7" t="s">
        <v>363</v>
      </c>
      <c r="H11" s="7" t="s">
        <v>368</v>
      </c>
      <c r="I11" s="7" t="s">
        <v>364</v>
      </c>
      <c r="J11" s="7">
        <v>12.261359167705001</v>
      </c>
      <c r="K11" s="7" t="s">
        <v>366</v>
      </c>
      <c r="L11" s="7" t="s">
        <v>367</v>
      </c>
    </row>
    <row r="12" spans="1:12" ht="14.4" x14ac:dyDescent="0.3">
      <c r="A12" s="1" t="s">
        <v>183</v>
      </c>
      <c r="B12" s="2" t="s">
        <v>346</v>
      </c>
      <c r="C12" s="1">
        <v>1</v>
      </c>
      <c r="D12" s="7" t="s">
        <v>361</v>
      </c>
      <c r="E12" s="7" t="s">
        <v>362</v>
      </c>
      <c r="F12" s="7">
        <v>66.684252070326593</v>
      </c>
      <c r="G12" s="7" t="s">
        <v>363</v>
      </c>
      <c r="H12" s="7">
        <v>20.107622740952099</v>
      </c>
      <c r="I12" s="7" t="s">
        <v>364</v>
      </c>
      <c r="J12" s="7" t="s">
        <v>365</v>
      </c>
      <c r="K12" s="7" t="s">
        <v>366</v>
      </c>
      <c r="L12" s="7" t="s">
        <v>367</v>
      </c>
    </row>
    <row r="13" spans="1:12" ht="14.4" x14ac:dyDescent="0.3">
      <c r="A13" s="1" t="s">
        <v>184</v>
      </c>
      <c r="B13" s="1" t="s">
        <v>87</v>
      </c>
      <c r="C13" s="1">
        <v>1</v>
      </c>
      <c r="D13" s="7" t="s">
        <v>361</v>
      </c>
      <c r="E13" s="7" t="s">
        <v>362</v>
      </c>
      <c r="F13" s="7">
        <v>33.7452480007086</v>
      </c>
      <c r="G13" s="7" t="s">
        <v>363</v>
      </c>
      <c r="H13" s="7" t="s">
        <v>368</v>
      </c>
      <c r="I13" s="7" t="s">
        <v>364</v>
      </c>
      <c r="J13" s="7" t="s">
        <v>365</v>
      </c>
      <c r="K13" s="7" t="s">
        <v>366</v>
      </c>
      <c r="L13" s="7">
        <v>13.2445772825885</v>
      </c>
    </row>
    <row r="14" spans="1:12" ht="14.4" x14ac:dyDescent="0.3">
      <c r="A14" s="1" t="s">
        <v>185</v>
      </c>
      <c r="B14" s="1" t="s">
        <v>91</v>
      </c>
      <c r="C14" s="1">
        <v>1</v>
      </c>
      <c r="D14" s="7" t="s">
        <v>361</v>
      </c>
      <c r="E14" s="7" t="s">
        <v>362</v>
      </c>
      <c r="F14" s="7">
        <v>47.483231005711502</v>
      </c>
      <c r="G14" s="7" t="s">
        <v>363</v>
      </c>
      <c r="H14" s="7" t="s">
        <v>368</v>
      </c>
      <c r="I14" s="7" t="s">
        <v>364</v>
      </c>
      <c r="J14" s="7" t="s">
        <v>365</v>
      </c>
      <c r="K14" s="7" t="s">
        <v>366</v>
      </c>
      <c r="L14" s="7">
        <v>9.13485539241025</v>
      </c>
    </row>
    <row r="15" spans="1:12" ht="14.4" x14ac:dyDescent="0.3">
      <c r="A15" s="1" t="s">
        <v>186</v>
      </c>
      <c r="B15" s="1" t="s">
        <v>90</v>
      </c>
      <c r="C15" s="1">
        <v>1</v>
      </c>
      <c r="D15" s="7" t="s">
        <v>361</v>
      </c>
      <c r="E15" s="7" t="s">
        <v>362</v>
      </c>
      <c r="F15" s="7">
        <v>34.470454611513901</v>
      </c>
      <c r="G15" s="7" t="s">
        <v>363</v>
      </c>
      <c r="H15" s="7" t="s">
        <v>368</v>
      </c>
      <c r="I15" s="7" t="s">
        <v>364</v>
      </c>
      <c r="J15" s="7" t="s">
        <v>365</v>
      </c>
      <c r="K15" s="7" t="s">
        <v>366</v>
      </c>
      <c r="L15" s="7" t="s">
        <v>367</v>
      </c>
    </row>
    <row r="16" spans="1:12" ht="14.4" x14ac:dyDescent="0.3">
      <c r="A16" s="1" t="s">
        <v>187</v>
      </c>
      <c r="B16" s="1" t="s">
        <v>96</v>
      </c>
      <c r="C16" s="1">
        <v>1</v>
      </c>
      <c r="D16" s="7" t="s">
        <v>361</v>
      </c>
      <c r="E16" s="7" t="s">
        <v>362</v>
      </c>
      <c r="F16" s="7">
        <v>36.284795412695601</v>
      </c>
      <c r="G16" s="7" t="s">
        <v>363</v>
      </c>
      <c r="H16" s="7">
        <v>47.084294858961201</v>
      </c>
      <c r="I16" s="7" t="s">
        <v>364</v>
      </c>
      <c r="J16" s="7" t="s">
        <v>365</v>
      </c>
      <c r="K16" s="7" t="s">
        <v>366</v>
      </c>
      <c r="L16" s="7" t="s">
        <v>367</v>
      </c>
    </row>
    <row r="17" spans="1:12" ht="14.4" x14ac:dyDescent="0.3">
      <c r="A17" s="1" t="s">
        <v>188</v>
      </c>
      <c r="B17" s="1" t="s">
        <v>50</v>
      </c>
      <c r="C17" s="1">
        <v>1</v>
      </c>
      <c r="D17" s="7" t="s">
        <v>361</v>
      </c>
      <c r="E17" s="7" t="s">
        <v>362</v>
      </c>
      <c r="F17" s="7">
        <v>83.998126300076294</v>
      </c>
      <c r="G17" s="7" t="s">
        <v>363</v>
      </c>
      <c r="H17" s="7">
        <v>91.530877155556993</v>
      </c>
      <c r="I17" s="7" t="s">
        <v>364</v>
      </c>
      <c r="J17" s="7" t="s">
        <v>365</v>
      </c>
      <c r="K17" s="7" t="s">
        <v>366</v>
      </c>
      <c r="L17" s="7" t="s">
        <v>367</v>
      </c>
    </row>
    <row r="18" spans="1:12" ht="14.4" x14ac:dyDescent="0.3">
      <c r="A18" s="1" t="s">
        <v>189</v>
      </c>
      <c r="B18" s="1" t="s">
        <v>19</v>
      </c>
      <c r="C18" s="1">
        <v>1</v>
      </c>
      <c r="D18" s="7" t="s">
        <v>361</v>
      </c>
      <c r="E18" s="7" t="s">
        <v>362</v>
      </c>
      <c r="F18" s="7">
        <v>42.009201362897002</v>
      </c>
      <c r="G18" s="7" t="s">
        <v>363</v>
      </c>
      <c r="H18" s="7" t="s">
        <v>368</v>
      </c>
      <c r="I18" s="7" t="s">
        <v>364</v>
      </c>
      <c r="J18" s="7" t="s">
        <v>365</v>
      </c>
      <c r="K18" s="7" t="s">
        <v>366</v>
      </c>
      <c r="L18" s="7" t="s">
        <v>367</v>
      </c>
    </row>
    <row r="19" spans="1:12" ht="14.4" x14ac:dyDescent="0.3">
      <c r="A19" s="1" t="s">
        <v>190</v>
      </c>
      <c r="B19" s="1" t="s">
        <v>29</v>
      </c>
      <c r="C19" s="1">
        <v>1</v>
      </c>
      <c r="D19" s="7" t="s">
        <v>361</v>
      </c>
      <c r="E19" s="7" t="s">
        <v>362</v>
      </c>
      <c r="F19" s="7">
        <v>85.385662559207802</v>
      </c>
      <c r="G19" s="7" t="s">
        <v>363</v>
      </c>
      <c r="H19" s="7">
        <v>14.852270138367301</v>
      </c>
      <c r="I19" s="7" t="s">
        <v>364</v>
      </c>
      <c r="J19" s="7" t="s">
        <v>365</v>
      </c>
      <c r="K19" s="7" t="s">
        <v>366</v>
      </c>
      <c r="L19" s="7" t="s">
        <v>367</v>
      </c>
    </row>
    <row r="20" spans="1:12" ht="14.4" x14ac:dyDescent="0.3">
      <c r="A20" s="1" t="s">
        <v>191</v>
      </c>
      <c r="B20" s="1" t="s">
        <v>117</v>
      </c>
      <c r="C20" s="1">
        <v>1</v>
      </c>
      <c r="D20" s="7" t="s">
        <v>361</v>
      </c>
      <c r="E20" s="7" t="s">
        <v>362</v>
      </c>
      <c r="F20" s="7">
        <v>9.6339613395830899</v>
      </c>
      <c r="G20" s="7" t="s">
        <v>363</v>
      </c>
      <c r="H20" s="7">
        <v>9.4446738398932997</v>
      </c>
      <c r="I20" s="7" t="s">
        <v>364</v>
      </c>
      <c r="J20" s="7" t="s">
        <v>365</v>
      </c>
      <c r="K20" s="7" t="s">
        <v>366</v>
      </c>
      <c r="L20" s="7">
        <v>7.3065529577902302</v>
      </c>
    </row>
    <row r="21" spans="1:12" ht="14.4" x14ac:dyDescent="0.3">
      <c r="A21" s="1" t="s">
        <v>192</v>
      </c>
      <c r="B21" s="1" t="s">
        <v>119</v>
      </c>
      <c r="C21" s="1">
        <v>1</v>
      </c>
      <c r="D21" s="7" t="s">
        <v>361</v>
      </c>
      <c r="E21" s="7" t="s">
        <v>362</v>
      </c>
      <c r="F21" s="7">
        <v>92.644380852911098</v>
      </c>
      <c r="G21" s="7" t="s">
        <v>363</v>
      </c>
      <c r="H21" s="7">
        <v>4.3330756853845704</v>
      </c>
      <c r="I21" s="7" t="s">
        <v>364</v>
      </c>
      <c r="J21" s="7" t="s">
        <v>365</v>
      </c>
      <c r="K21" s="7" t="s">
        <v>366</v>
      </c>
      <c r="L21" s="7">
        <v>5.4247739693317198</v>
      </c>
    </row>
    <row r="22" spans="1:12" ht="14.4" x14ac:dyDescent="0.3">
      <c r="A22" s="1" t="s">
        <v>193</v>
      </c>
      <c r="B22" s="1" t="s">
        <v>92</v>
      </c>
      <c r="C22" s="1">
        <v>1</v>
      </c>
      <c r="D22" s="7" t="s">
        <v>361</v>
      </c>
      <c r="E22" s="7" t="s">
        <v>362</v>
      </c>
      <c r="F22" s="7">
        <v>63.7791511670384</v>
      </c>
      <c r="G22" s="7" t="s">
        <v>363</v>
      </c>
      <c r="H22" s="7">
        <v>8.5120647014116706</v>
      </c>
      <c r="I22" s="7" t="s">
        <v>364</v>
      </c>
      <c r="J22" s="7" t="s">
        <v>365</v>
      </c>
      <c r="K22" s="7" t="s">
        <v>366</v>
      </c>
      <c r="L22" s="7" t="s">
        <v>367</v>
      </c>
    </row>
    <row r="23" spans="1:12" ht="14.4" x14ac:dyDescent="0.3">
      <c r="A23" s="1" t="s">
        <v>194</v>
      </c>
      <c r="B23" s="1" t="s">
        <v>94</v>
      </c>
      <c r="C23" s="1">
        <v>1</v>
      </c>
      <c r="D23" s="7" t="s">
        <v>361</v>
      </c>
      <c r="E23" s="7" t="s">
        <v>362</v>
      </c>
      <c r="F23" s="7">
        <v>67.191152131955207</v>
      </c>
      <c r="G23" s="7" t="s">
        <v>363</v>
      </c>
      <c r="H23" s="7">
        <v>9.4878801429206998</v>
      </c>
      <c r="I23" s="7">
        <v>44.136925227454597</v>
      </c>
      <c r="J23" s="7" t="s">
        <v>365</v>
      </c>
      <c r="K23" s="7" t="s">
        <v>366</v>
      </c>
      <c r="L23" s="7">
        <v>7.0643740878579999</v>
      </c>
    </row>
    <row r="24" spans="1:12" ht="14.4" x14ac:dyDescent="0.3">
      <c r="A24" s="1" t="s">
        <v>195</v>
      </c>
      <c r="B24" s="1" t="s">
        <v>89</v>
      </c>
      <c r="C24" s="1">
        <v>1</v>
      </c>
      <c r="D24" s="7" t="s">
        <v>361</v>
      </c>
      <c r="E24" s="7" t="s">
        <v>362</v>
      </c>
      <c r="F24" s="7">
        <v>52.024033863355498</v>
      </c>
      <c r="G24" s="7" t="s">
        <v>363</v>
      </c>
      <c r="H24" s="7">
        <v>4.1821310317571596</v>
      </c>
      <c r="I24" s="7" t="s">
        <v>364</v>
      </c>
      <c r="J24" s="7" t="s">
        <v>365</v>
      </c>
      <c r="K24" s="7" t="s">
        <v>366</v>
      </c>
      <c r="L24" s="7" t="s">
        <v>367</v>
      </c>
    </row>
    <row r="25" spans="1:12" ht="14.4" x14ac:dyDescent="0.3">
      <c r="A25" s="1" t="s">
        <v>196</v>
      </c>
      <c r="B25" s="1" t="s">
        <v>93</v>
      </c>
      <c r="C25" s="1">
        <v>1</v>
      </c>
      <c r="D25" s="7" t="s">
        <v>361</v>
      </c>
      <c r="E25" s="7" t="s">
        <v>362</v>
      </c>
      <c r="F25" s="7">
        <v>52.881544689481302</v>
      </c>
      <c r="G25" s="7" t="s">
        <v>363</v>
      </c>
      <c r="H25" s="7">
        <v>330.50181162633498</v>
      </c>
      <c r="I25" s="7" t="s">
        <v>364</v>
      </c>
      <c r="J25" s="7" t="s">
        <v>365</v>
      </c>
      <c r="K25" s="7" t="s">
        <v>366</v>
      </c>
      <c r="L25" s="7" t="s">
        <v>367</v>
      </c>
    </row>
    <row r="26" spans="1:12" ht="14.4" x14ac:dyDescent="0.3">
      <c r="A26" s="1" t="s">
        <v>197</v>
      </c>
      <c r="B26" s="1" t="s">
        <v>72</v>
      </c>
      <c r="C26" s="1">
        <v>1</v>
      </c>
      <c r="D26" s="7" t="s">
        <v>361</v>
      </c>
      <c r="E26" s="7" t="s">
        <v>362</v>
      </c>
      <c r="F26" s="7">
        <v>17.0710931133485</v>
      </c>
      <c r="G26" s="7" t="s">
        <v>363</v>
      </c>
      <c r="H26" s="7">
        <v>36.190326567152397</v>
      </c>
      <c r="I26" s="7" t="s">
        <v>364</v>
      </c>
      <c r="J26" s="7" t="s">
        <v>365</v>
      </c>
      <c r="K26" s="7">
        <v>124.036934190845</v>
      </c>
      <c r="L26" s="7" t="s">
        <v>367</v>
      </c>
    </row>
    <row r="27" spans="1:12" ht="14.4" x14ac:dyDescent="0.3">
      <c r="A27" s="1" t="s">
        <v>198</v>
      </c>
      <c r="B27" s="1" t="s">
        <v>76</v>
      </c>
      <c r="C27" s="1">
        <v>1</v>
      </c>
      <c r="D27" s="7" t="s">
        <v>361</v>
      </c>
      <c r="E27" s="7" t="s">
        <v>362</v>
      </c>
      <c r="F27" s="7">
        <v>104.24791198475501</v>
      </c>
      <c r="G27" s="7" t="s">
        <v>363</v>
      </c>
      <c r="H27" s="7">
        <v>63.165183229624603</v>
      </c>
      <c r="I27" s="7" t="s">
        <v>364</v>
      </c>
      <c r="J27" s="7" t="s">
        <v>365</v>
      </c>
      <c r="K27" s="7">
        <v>49.416682253644602</v>
      </c>
      <c r="L27" s="7">
        <v>16.396080189592102</v>
      </c>
    </row>
    <row r="28" spans="1:12" ht="14.4" x14ac:dyDescent="0.3">
      <c r="A28" s="1" t="s">
        <v>199</v>
      </c>
      <c r="B28" s="1" t="s">
        <v>80</v>
      </c>
      <c r="C28" s="1">
        <v>1</v>
      </c>
      <c r="D28" s="7" t="s">
        <v>361</v>
      </c>
      <c r="E28" s="7" t="s">
        <v>362</v>
      </c>
      <c r="F28" s="7">
        <v>35.101392843514198</v>
      </c>
      <c r="G28" s="7" t="s">
        <v>363</v>
      </c>
      <c r="H28" s="7">
        <v>11.2572574420245</v>
      </c>
      <c r="I28" s="7" t="s">
        <v>364</v>
      </c>
      <c r="J28" s="7" t="s">
        <v>365</v>
      </c>
      <c r="K28" s="7" t="s">
        <v>366</v>
      </c>
      <c r="L28" s="7" t="s">
        <v>367</v>
      </c>
    </row>
    <row r="29" spans="1:12" ht="14.4" x14ac:dyDescent="0.3">
      <c r="A29" s="1" t="s">
        <v>200</v>
      </c>
      <c r="B29" s="1" t="s">
        <v>77</v>
      </c>
      <c r="C29" s="1">
        <v>1</v>
      </c>
      <c r="D29" s="7" t="s">
        <v>361</v>
      </c>
      <c r="E29" s="7" t="s">
        <v>362</v>
      </c>
      <c r="F29" s="7">
        <v>64.315151344298798</v>
      </c>
      <c r="G29" s="7" t="s">
        <v>363</v>
      </c>
      <c r="H29" s="7">
        <v>16.839199557051199</v>
      </c>
      <c r="I29" s="7" t="s">
        <v>364</v>
      </c>
      <c r="J29" s="7" t="s">
        <v>365</v>
      </c>
      <c r="K29" s="7" t="s">
        <v>366</v>
      </c>
      <c r="L29" s="7" t="s">
        <v>367</v>
      </c>
    </row>
    <row r="30" spans="1:12" ht="14.4" x14ac:dyDescent="0.3">
      <c r="A30" s="1" t="s">
        <v>201</v>
      </c>
      <c r="B30" s="1" t="s">
        <v>39</v>
      </c>
      <c r="C30" s="1">
        <v>1</v>
      </c>
      <c r="D30" s="7" t="s">
        <v>361</v>
      </c>
      <c r="E30" s="7" t="s">
        <v>362</v>
      </c>
      <c r="F30" s="7">
        <v>52.553522648517202</v>
      </c>
      <c r="G30" s="7" t="s">
        <v>363</v>
      </c>
      <c r="H30" s="7" t="s">
        <v>368</v>
      </c>
      <c r="I30" s="7" t="s">
        <v>364</v>
      </c>
      <c r="J30" s="7" t="s">
        <v>365</v>
      </c>
      <c r="K30" s="7" t="s">
        <v>366</v>
      </c>
      <c r="L30" s="7" t="s">
        <v>367</v>
      </c>
    </row>
    <row r="31" spans="1:12" ht="14.4" x14ac:dyDescent="0.3">
      <c r="A31" s="1" t="s">
        <v>202</v>
      </c>
      <c r="B31" s="1" t="s">
        <v>40</v>
      </c>
      <c r="C31" s="1">
        <v>1</v>
      </c>
      <c r="D31" s="7" t="s">
        <v>361</v>
      </c>
      <c r="E31" s="7" t="s">
        <v>362</v>
      </c>
      <c r="F31" s="7">
        <v>52.437612080412499</v>
      </c>
      <c r="G31" s="7" t="s">
        <v>363</v>
      </c>
      <c r="H31" s="7">
        <v>6.5274991060316596</v>
      </c>
      <c r="I31" s="7" t="s">
        <v>364</v>
      </c>
      <c r="J31" s="7" t="s">
        <v>365</v>
      </c>
      <c r="K31" s="7" t="s">
        <v>366</v>
      </c>
      <c r="L31" s="7" t="s">
        <v>367</v>
      </c>
    </row>
    <row r="32" spans="1:12" ht="14.4" x14ac:dyDescent="0.3">
      <c r="A32" s="1" t="s">
        <v>203</v>
      </c>
      <c r="B32" s="1" t="s">
        <v>41</v>
      </c>
      <c r="C32" s="1">
        <v>1</v>
      </c>
      <c r="D32" s="7" t="s">
        <v>361</v>
      </c>
      <c r="E32" s="7" t="s">
        <v>362</v>
      </c>
      <c r="F32" s="7">
        <v>29.238302403553</v>
      </c>
      <c r="G32" s="7" t="s">
        <v>363</v>
      </c>
      <c r="H32" s="7">
        <v>7.4587643759139199</v>
      </c>
      <c r="I32" s="7" t="s">
        <v>364</v>
      </c>
      <c r="J32" s="7" t="s">
        <v>365</v>
      </c>
      <c r="K32" s="7" t="s">
        <v>366</v>
      </c>
      <c r="L32" s="7" t="s">
        <v>367</v>
      </c>
    </row>
    <row r="33" spans="1:12" ht="14.4" x14ac:dyDescent="0.3">
      <c r="A33" s="1" t="s">
        <v>204</v>
      </c>
      <c r="B33" s="1" t="s">
        <v>22</v>
      </c>
      <c r="C33" s="1">
        <v>1</v>
      </c>
      <c r="D33" s="7" t="s">
        <v>361</v>
      </c>
      <c r="E33" s="7" t="s">
        <v>362</v>
      </c>
      <c r="F33" s="7">
        <v>26.1138357544163</v>
      </c>
      <c r="G33" s="7" t="s">
        <v>363</v>
      </c>
      <c r="H33" s="7">
        <v>17.436976885936001</v>
      </c>
      <c r="I33" s="7" t="s">
        <v>364</v>
      </c>
      <c r="J33" s="7" t="s">
        <v>365</v>
      </c>
      <c r="K33" s="7" t="s">
        <v>366</v>
      </c>
      <c r="L33" s="7" t="s">
        <v>367</v>
      </c>
    </row>
    <row r="34" spans="1:12" ht="14.4" x14ac:dyDescent="0.3">
      <c r="A34" s="1" t="s">
        <v>205</v>
      </c>
      <c r="B34" s="2" t="s">
        <v>347</v>
      </c>
      <c r="C34" s="1">
        <v>1</v>
      </c>
      <c r="D34" s="7" t="s">
        <v>361</v>
      </c>
      <c r="E34" s="7" t="s">
        <v>362</v>
      </c>
      <c r="F34" s="7">
        <v>35.274107356624903</v>
      </c>
      <c r="G34" s="7" t="s">
        <v>363</v>
      </c>
      <c r="H34" s="7">
        <v>11.277434241419799</v>
      </c>
      <c r="I34" s="7" t="s">
        <v>364</v>
      </c>
      <c r="J34" s="7" t="s">
        <v>365</v>
      </c>
      <c r="K34" s="7" t="s">
        <v>366</v>
      </c>
      <c r="L34" s="7" t="s">
        <v>367</v>
      </c>
    </row>
    <row r="35" spans="1:12" ht="14.4" x14ac:dyDescent="0.3">
      <c r="A35" s="1" t="s">
        <v>206</v>
      </c>
      <c r="B35" s="1" t="s">
        <v>20</v>
      </c>
      <c r="C35" s="1">
        <v>1</v>
      </c>
      <c r="D35" s="7" t="s">
        <v>361</v>
      </c>
      <c r="E35" s="7" t="s">
        <v>362</v>
      </c>
      <c r="F35" s="7">
        <v>36.255509801544903</v>
      </c>
      <c r="G35" s="7" t="s">
        <v>363</v>
      </c>
      <c r="H35" s="7">
        <v>14.2889718692249</v>
      </c>
      <c r="I35" s="7" t="s">
        <v>364</v>
      </c>
      <c r="J35" s="7" t="s">
        <v>365</v>
      </c>
      <c r="K35" s="7" t="s">
        <v>366</v>
      </c>
      <c r="L35" s="7" t="s">
        <v>367</v>
      </c>
    </row>
    <row r="36" spans="1:12" ht="14.4" x14ac:dyDescent="0.3">
      <c r="A36" s="1" t="s">
        <v>207</v>
      </c>
      <c r="B36" s="1" t="s">
        <v>28</v>
      </c>
      <c r="C36" s="1">
        <v>1</v>
      </c>
      <c r="D36" s="7" t="s">
        <v>361</v>
      </c>
      <c r="E36" s="7" t="s">
        <v>362</v>
      </c>
      <c r="F36" s="7">
        <v>39.9791986136036</v>
      </c>
      <c r="G36" s="7" t="s">
        <v>363</v>
      </c>
      <c r="H36" s="7">
        <v>14.8614983894632</v>
      </c>
      <c r="I36" s="7" t="s">
        <v>364</v>
      </c>
      <c r="J36" s="7" t="s">
        <v>365</v>
      </c>
      <c r="K36" s="7" t="s">
        <v>366</v>
      </c>
      <c r="L36" s="7" t="s">
        <v>367</v>
      </c>
    </row>
    <row r="37" spans="1:12" ht="14.4" x14ac:dyDescent="0.3">
      <c r="A37" s="1" t="s">
        <v>208</v>
      </c>
      <c r="B37" s="1" t="s">
        <v>121</v>
      </c>
      <c r="C37" s="1">
        <v>1</v>
      </c>
      <c r="D37" s="7" t="s">
        <v>361</v>
      </c>
      <c r="E37" s="7" t="s">
        <v>362</v>
      </c>
      <c r="F37" s="7">
        <v>101.684648792858</v>
      </c>
      <c r="G37" s="7" t="s">
        <v>363</v>
      </c>
      <c r="H37" s="7">
        <v>24.841078674755298</v>
      </c>
      <c r="I37" s="7" t="s">
        <v>364</v>
      </c>
      <c r="J37" s="7" t="s">
        <v>365</v>
      </c>
      <c r="K37" s="7" t="s">
        <v>366</v>
      </c>
      <c r="L37" s="7">
        <v>13.8663332912774</v>
      </c>
    </row>
    <row r="38" spans="1:12" ht="14.4" x14ac:dyDescent="0.3">
      <c r="A38" s="1" t="s">
        <v>209</v>
      </c>
      <c r="B38" s="1" t="s">
        <v>71</v>
      </c>
      <c r="C38" s="1">
        <v>1</v>
      </c>
      <c r="D38" s="7" t="s">
        <v>361</v>
      </c>
      <c r="E38" s="7" t="s">
        <v>362</v>
      </c>
      <c r="F38" s="7">
        <v>64.653505952073502</v>
      </c>
      <c r="G38" s="7" t="s">
        <v>363</v>
      </c>
      <c r="H38" s="7" t="s">
        <v>368</v>
      </c>
      <c r="I38" s="7" t="s">
        <v>364</v>
      </c>
      <c r="J38" s="7" t="s">
        <v>365</v>
      </c>
      <c r="K38" s="7" t="s">
        <v>366</v>
      </c>
      <c r="L38" s="7" t="s">
        <v>367</v>
      </c>
    </row>
    <row r="39" spans="1:12" ht="14.4" x14ac:dyDescent="0.3">
      <c r="A39" s="1" t="s">
        <v>210</v>
      </c>
      <c r="B39" s="1" t="s">
        <v>74</v>
      </c>
      <c r="C39" s="1">
        <v>1</v>
      </c>
      <c r="D39" s="7" t="s">
        <v>361</v>
      </c>
      <c r="E39" s="7" t="s">
        <v>362</v>
      </c>
      <c r="F39" s="7">
        <v>60.581894143274397</v>
      </c>
      <c r="G39" s="7" t="s">
        <v>363</v>
      </c>
      <c r="H39" s="7">
        <v>21.2621602310839</v>
      </c>
      <c r="I39" s="7" t="s">
        <v>364</v>
      </c>
      <c r="J39" s="7" t="s">
        <v>365</v>
      </c>
      <c r="K39" s="7" t="s">
        <v>366</v>
      </c>
      <c r="L39" s="7" t="s">
        <v>367</v>
      </c>
    </row>
    <row r="40" spans="1:12" ht="14.4" x14ac:dyDescent="0.3">
      <c r="A40" s="1" t="s">
        <v>211</v>
      </c>
      <c r="B40" s="1" t="s">
        <v>68</v>
      </c>
      <c r="C40" s="1">
        <v>1</v>
      </c>
      <c r="D40" s="7" t="s">
        <v>361</v>
      </c>
      <c r="E40" s="7" t="s">
        <v>362</v>
      </c>
      <c r="F40" s="7">
        <v>322.40427300727902</v>
      </c>
      <c r="G40" s="7" t="s">
        <v>363</v>
      </c>
      <c r="H40" s="7">
        <v>4.0663567507187501</v>
      </c>
      <c r="I40" s="7" t="s">
        <v>364</v>
      </c>
      <c r="J40" s="7" t="s">
        <v>365</v>
      </c>
      <c r="K40" s="7" t="s">
        <v>366</v>
      </c>
      <c r="L40" s="7" t="s">
        <v>367</v>
      </c>
    </row>
    <row r="41" spans="1:12" ht="14.4" x14ac:dyDescent="0.3">
      <c r="A41" s="1" t="s">
        <v>212</v>
      </c>
      <c r="B41" s="1" t="s">
        <v>78</v>
      </c>
      <c r="C41" s="1">
        <v>1</v>
      </c>
      <c r="D41" s="7" t="s">
        <v>361</v>
      </c>
      <c r="E41" s="7" t="s">
        <v>362</v>
      </c>
      <c r="F41" s="7">
        <v>85.994000963961099</v>
      </c>
      <c r="G41" s="7" t="s">
        <v>363</v>
      </c>
      <c r="H41" s="7">
        <v>20.6017954012441</v>
      </c>
      <c r="I41" s="7" t="s">
        <v>364</v>
      </c>
      <c r="J41" s="7" t="s">
        <v>365</v>
      </c>
      <c r="K41" s="7" t="s">
        <v>366</v>
      </c>
      <c r="L41" s="7" t="s">
        <v>367</v>
      </c>
    </row>
    <row r="42" spans="1:12" ht="14.4" x14ac:dyDescent="0.3">
      <c r="A42" s="1" t="s">
        <v>213</v>
      </c>
      <c r="B42" s="1" t="s">
        <v>42</v>
      </c>
      <c r="C42" s="1">
        <v>1</v>
      </c>
      <c r="D42" s="7" t="s">
        <v>361</v>
      </c>
      <c r="E42" s="7" t="s">
        <v>362</v>
      </c>
      <c r="F42" s="7">
        <v>6.3827107931283296</v>
      </c>
      <c r="G42" s="7" t="s">
        <v>363</v>
      </c>
      <c r="H42" s="7" t="s">
        <v>368</v>
      </c>
      <c r="I42" s="7" t="s">
        <v>364</v>
      </c>
      <c r="J42" s="7" t="s">
        <v>365</v>
      </c>
      <c r="K42" s="7" t="s">
        <v>366</v>
      </c>
      <c r="L42" s="7" t="s">
        <v>367</v>
      </c>
    </row>
    <row r="43" spans="1:12" ht="14.4" x14ac:dyDescent="0.3">
      <c r="A43" s="1" t="s">
        <v>214</v>
      </c>
      <c r="B43" s="1" t="s">
        <v>49</v>
      </c>
      <c r="C43" s="1">
        <v>1</v>
      </c>
      <c r="D43" s="7" t="s">
        <v>361</v>
      </c>
      <c r="E43" s="7" t="s">
        <v>362</v>
      </c>
      <c r="F43" s="7">
        <v>32.818126568894598</v>
      </c>
      <c r="G43" s="7" t="s">
        <v>363</v>
      </c>
      <c r="H43" s="7">
        <v>5.5902993247404602</v>
      </c>
      <c r="I43" s="7" t="s">
        <v>364</v>
      </c>
      <c r="J43" s="7" t="s">
        <v>365</v>
      </c>
      <c r="K43" s="7" t="s">
        <v>366</v>
      </c>
      <c r="L43" s="7" t="s">
        <v>367</v>
      </c>
    </row>
    <row r="44" spans="1:12" ht="14.4" x14ac:dyDescent="0.3">
      <c r="A44" s="1" t="s">
        <v>215</v>
      </c>
      <c r="B44" s="1" t="s">
        <v>43</v>
      </c>
      <c r="C44" s="1">
        <v>1</v>
      </c>
      <c r="D44" s="7" t="s">
        <v>361</v>
      </c>
      <c r="E44" s="7" t="s">
        <v>362</v>
      </c>
      <c r="F44" s="7" t="s">
        <v>369</v>
      </c>
      <c r="G44" s="7" t="s">
        <v>363</v>
      </c>
      <c r="H44" s="7" t="s">
        <v>368</v>
      </c>
      <c r="I44" s="7" t="s">
        <v>364</v>
      </c>
      <c r="J44" s="7" t="s">
        <v>365</v>
      </c>
      <c r="K44" s="7" t="s">
        <v>366</v>
      </c>
      <c r="L44" s="7" t="s">
        <v>367</v>
      </c>
    </row>
    <row r="45" spans="1:12" ht="14.4" x14ac:dyDescent="0.3">
      <c r="A45" s="1" t="s">
        <v>216</v>
      </c>
      <c r="B45" s="1" t="s">
        <v>44</v>
      </c>
      <c r="C45" s="1">
        <v>1</v>
      </c>
      <c r="D45" s="7" t="s">
        <v>361</v>
      </c>
      <c r="E45" s="7" t="s">
        <v>362</v>
      </c>
      <c r="F45" s="7">
        <v>57.264244870280002</v>
      </c>
      <c r="G45" s="7" t="s">
        <v>363</v>
      </c>
      <c r="H45" s="7" t="s">
        <v>368</v>
      </c>
      <c r="I45" s="7" t="s">
        <v>364</v>
      </c>
      <c r="J45" s="7" t="s">
        <v>365</v>
      </c>
      <c r="K45" s="7" t="s">
        <v>366</v>
      </c>
      <c r="L45" s="7" t="s">
        <v>367</v>
      </c>
    </row>
    <row r="46" spans="1:12" ht="14.4" x14ac:dyDescent="0.3">
      <c r="A46" s="1" t="s">
        <v>217</v>
      </c>
      <c r="B46" s="1" t="s">
        <v>95</v>
      </c>
      <c r="C46" s="1">
        <v>1</v>
      </c>
      <c r="D46" s="7" t="s">
        <v>361</v>
      </c>
      <c r="E46" s="7" t="s">
        <v>362</v>
      </c>
      <c r="F46" s="7">
        <v>37.557247737443902</v>
      </c>
      <c r="G46" s="7" t="s">
        <v>363</v>
      </c>
      <c r="H46" s="7">
        <v>8.5347833880689201</v>
      </c>
      <c r="I46" s="7">
        <v>85.364396953796799</v>
      </c>
      <c r="J46" s="7" t="s">
        <v>365</v>
      </c>
      <c r="K46" s="7" t="s">
        <v>366</v>
      </c>
      <c r="L46" s="7" t="s">
        <v>367</v>
      </c>
    </row>
    <row r="47" spans="1:12" ht="14.4" x14ac:dyDescent="0.3">
      <c r="A47" s="1" t="s">
        <v>218</v>
      </c>
      <c r="B47" s="1" t="s">
        <v>112</v>
      </c>
      <c r="C47" s="1">
        <v>1</v>
      </c>
      <c r="D47" s="7" t="s">
        <v>361</v>
      </c>
      <c r="E47" s="7" t="s">
        <v>362</v>
      </c>
      <c r="F47" s="7">
        <v>6.1236944224291499</v>
      </c>
      <c r="G47" s="7" t="s">
        <v>363</v>
      </c>
      <c r="H47" s="7">
        <v>22.884182187010602</v>
      </c>
      <c r="I47" s="7" t="s">
        <v>364</v>
      </c>
      <c r="J47" s="7" t="s">
        <v>365</v>
      </c>
      <c r="K47" s="7" t="s">
        <v>366</v>
      </c>
      <c r="L47" s="7" t="s">
        <v>367</v>
      </c>
    </row>
    <row r="48" spans="1:12" ht="14.4" x14ac:dyDescent="0.3">
      <c r="A48" s="1" t="s">
        <v>219</v>
      </c>
      <c r="B48" s="1" t="s">
        <v>113</v>
      </c>
      <c r="C48" s="1">
        <v>1</v>
      </c>
      <c r="D48" s="7" t="s">
        <v>361</v>
      </c>
      <c r="E48" s="7" t="s">
        <v>362</v>
      </c>
      <c r="F48" s="7">
        <v>28.519611454390301</v>
      </c>
      <c r="G48" s="7" t="s">
        <v>363</v>
      </c>
      <c r="H48" s="7">
        <v>109.848433722339</v>
      </c>
      <c r="I48" s="7" t="s">
        <v>364</v>
      </c>
      <c r="J48" s="7" t="s">
        <v>365</v>
      </c>
      <c r="K48" s="7" t="s">
        <v>366</v>
      </c>
      <c r="L48" s="7" t="s">
        <v>367</v>
      </c>
    </row>
    <row r="49" spans="1:12" ht="14.4" x14ac:dyDescent="0.3">
      <c r="A49" s="1" t="s">
        <v>220</v>
      </c>
      <c r="B49" s="1" t="s">
        <v>88</v>
      </c>
      <c r="C49" s="1">
        <v>1</v>
      </c>
      <c r="D49" s="7" t="s">
        <v>361</v>
      </c>
      <c r="E49" s="7" t="s">
        <v>362</v>
      </c>
      <c r="F49" s="7">
        <v>30.835881814091501</v>
      </c>
      <c r="G49" s="7" t="s">
        <v>363</v>
      </c>
      <c r="H49" s="7">
        <v>82.352544228972704</v>
      </c>
      <c r="I49" s="7" t="s">
        <v>364</v>
      </c>
      <c r="J49" s="7" t="s">
        <v>365</v>
      </c>
      <c r="K49" s="7" t="s">
        <v>366</v>
      </c>
      <c r="L49" s="7" t="s">
        <v>367</v>
      </c>
    </row>
    <row r="50" spans="1:12" ht="14.4" x14ac:dyDescent="0.3">
      <c r="A50" s="1" t="s">
        <v>221</v>
      </c>
      <c r="B50" s="1" t="s">
        <v>97</v>
      </c>
      <c r="C50" s="1">
        <v>1</v>
      </c>
      <c r="D50" s="7" t="s">
        <v>361</v>
      </c>
      <c r="E50" s="7" t="s">
        <v>362</v>
      </c>
      <c r="F50" s="7">
        <v>60.746812486157303</v>
      </c>
      <c r="G50" s="7" t="s">
        <v>363</v>
      </c>
      <c r="H50" s="7">
        <v>73.786757761962406</v>
      </c>
      <c r="I50" s="7" t="s">
        <v>364</v>
      </c>
      <c r="J50" s="7" t="s">
        <v>365</v>
      </c>
      <c r="K50" s="7" t="s">
        <v>366</v>
      </c>
      <c r="L50" s="7" t="s">
        <v>367</v>
      </c>
    </row>
    <row r="51" spans="1:12" ht="14.4" x14ac:dyDescent="0.3">
      <c r="A51" s="1" t="s">
        <v>222</v>
      </c>
      <c r="B51" s="1" t="s">
        <v>115</v>
      </c>
      <c r="C51" s="1">
        <v>1</v>
      </c>
      <c r="D51" s="7" t="s">
        <v>361</v>
      </c>
      <c r="E51" s="7" t="s">
        <v>362</v>
      </c>
      <c r="F51" s="7">
        <v>31.8673105224767</v>
      </c>
      <c r="G51" s="7" t="s">
        <v>363</v>
      </c>
      <c r="H51" s="7">
        <v>6.73397868486947</v>
      </c>
      <c r="I51" s="7" t="s">
        <v>364</v>
      </c>
      <c r="J51" s="7" t="s">
        <v>365</v>
      </c>
      <c r="K51" s="7" t="s">
        <v>366</v>
      </c>
      <c r="L51" s="7" t="s">
        <v>367</v>
      </c>
    </row>
    <row r="52" spans="1:12" ht="14.4" x14ac:dyDescent="0.3">
      <c r="A52" s="1" t="s">
        <v>223</v>
      </c>
      <c r="B52" s="1" t="s">
        <v>114</v>
      </c>
      <c r="C52" s="1">
        <v>1</v>
      </c>
      <c r="D52" s="7" t="s">
        <v>361</v>
      </c>
      <c r="E52" s="7" t="s">
        <v>362</v>
      </c>
      <c r="F52" s="7">
        <v>24.577096617099802</v>
      </c>
      <c r="G52" s="7" t="s">
        <v>363</v>
      </c>
      <c r="H52" s="7" t="s">
        <v>368</v>
      </c>
      <c r="I52" s="7" t="s">
        <v>364</v>
      </c>
      <c r="J52" s="7" t="s">
        <v>365</v>
      </c>
      <c r="K52" s="7">
        <v>14.5890448241597</v>
      </c>
      <c r="L52" s="7" t="s">
        <v>367</v>
      </c>
    </row>
    <row r="53" spans="1:12" ht="14.4" x14ac:dyDescent="0.3">
      <c r="A53" s="1" t="s">
        <v>224</v>
      </c>
      <c r="B53" s="1" t="s">
        <v>10</v>
      </c>
      <c r="C53" s="1">
        <v>1</v>
      </c>
      <c r="D53" s="7" t="s">
        <v>361</v>
      </c>
      <c r="E53" s="7" t="s">
        <v>362</v>
      </c>
      <c r="F53" s="7">
        <v>27.6495154363278</v>
      </c>
      <c r="G53" s="7" t="s">
        <v>363</v>
      </c>
      <c r="H53" s="7">
        <v>21.376870567609</v>
      </c>
      <c r="I53" s="7" t="s">
        <v>364</v>
      </c>
      <c r="J53" s="7" t="s">
        <v>365</v>
      </c>
      <c r="K53" s="7" t="s">
        <v>366</v>
      </c>
      <c r="L53" s="7" t="s">
        <v>367</v>
      </c>
    </row>
    <row r="54" spans="1:12" ht="14.4" x14ac:dyDescent="0.3">
      <c r="A54" s="1" t="s">
        <v>225</v>
      </c>
      <c r="B54" s="1" t="s">
        <v>13</v>
      </c>
      <c r="C54" s="1">
        <v>1</v>
      </c>
      <c r="D54" s="7" t="s">
        <v>361</v>
      </c>
      <c r="E54" s="7" t="s">
        <v>362</v>
      </c>
      <c r="F54" s="7">
        <v>8.4058719135644697</v>
      </c>
      <c r="G54" s="7" t="s">
        <v>363</v>
      </c>
      <c r="H54" s="7" t="s">
        <v>368</v>
      </c>
      <c r="I54" s="7" t="s">
        <v>364</v>
      </c>
      <c r="J54" s="7" t="s">
        <v>365</v>
      </c>
      <c r="K54" s="7" t="s">
        <v>366</v>
      </c>
      <c r="L54" s="7" t="s">
        <v>367</v>
      </c>
    </row>
    <row r="55" spans="1:12" ht="14.4" x14ac:dyDescent="0.3">
      <c r="A55" s="1" t="s">
        <v>226</v>
      </c>
      <c r="B55" s="1" t="s">
        <v>26</v>
      </c>
      <c r="C55" s="1">
        <v>1</v>
      </c>
      <c r="D55" s="7" t="s">
        <v>361</v>
      </c>
      <c r="E55" s="7" t="s">
        <v>362</v>
      </c>
      <c r="F55" s="7">
        <v>68.771290736389801</v>
      </c>
      <c r="G55" s="7" t="s">
        <v>363</v>
      </c>
      <c r="H55" s="7">
        <v>21.043223013326099</v>
      </c>
      <c r="I55" s="7" t="s">
        <v>364</v>
      </c>
      <c r="J55" s="7" t="s">
        <v>365</v>
      </c>
      <c r="K55" s="7" t="s">
        <v>366</v>
      </c>
      <c r="L55" s="7" t="s">
        <v>367</v>
      </c>
    </row>
    <row r="56" spans="1:12" ht="14.4" x14ac:dyDescent="0.3">
      <c r="A56" s="1" t="s">
        <v>227</v>
      </c>
      <c r="B56" s="1" t="s">
        <v>120</v>
      </c>
      <c r="C56" s="1">
        <v>1</v>
      </c>
      <c r="D56" s="7" t="s">
        <v>361</v>
      </c>
      <c r="E56" s="7" t="s">
        <v>362</v>
      </c>
      <c r="F56" s="7">
        <v>63.057035026569999</v>
      </c>
      <c r="G56" s="7" t="s">
        <v>363</v>
      </c>
      <c r="H56" s="7">
        <v>13.5149167810428</v>
      </c>
      <c r="I56" s="7" t="s">
        <v>364</v>
      </c>
      <c r="J56" s="7" t="s">
        <v>365</v>
      </c>
      <c r="K56" s="7" t="s">
        <v>366</v>
      </c>
      <c r="L56" s="7" t="s">
        <v>367</v>
      </c>
    </row>
    <row r="57" spans="1:12" ht="15" thickBot="1" x14ac:dyDescent="0.35">
      <c r="A57" s="4" t="s">
        <v>228</v>
      </c>
      <c r="B57" s="4" t="s">
        <v>46</v>
      </c>
      <c r="C57" s="1">
        <v>1</v>
      </c>
      <c r="D57" s="9" t="s">
        <v>361</v>
      </c>
      <c r="E57" s="9" t="s">
        <v>362</v>
      </c>
      <c r="F57" s="9">
        <v>61.440126331170603</v>
      </c>
      <c r="G57" s="9" t="s">
        <v>363</v>
      </c>
      <c r="H57" s="9">
        <v>21.193762980164799</v>
      </c>
      <c r="I57" s="9" t="s">
        <v>364</v>
      </c>
      <c r="J57" s="9" t="s">
        <v>365</v>
      </c>
      <c r="K57" s="9" t="s">
        <v>366</v>
      </c>
      <c r="L57" s="9" t="s">
        <v>367</v>
      </c>
    </row>
    <row r="58" spans="1:12" ht="14.4" x14ac:dyDescent="0.3">
      <c r="A58" s="1" t="s">
        <v>229</v>
      </c>
      <c r="B58" s="1" t="s">
        <v>54</v>
      </c>
      <c r="C58" s="1">
        <v>2</v>
      </c>
      <c r="D58" s="7" t="s">
        <v>370</v>
      </c>
      <c r="E58" s="7" t="s">
        <v>371</v>
      </c>
      <c r="F58" s="7">
        <v>36.972773010125302</v>
      </c>
      <c r="G58" s="7" t="s">
        <v>372</v>
      </c>
      <c r="H58" s="7" t="s">
        <v>373</v>
      </c>
      <c r="I58" s="7" t="s">
        <v>374</v>
      </c>
      <c r="J58" s="7" t="s">
        <v>375</v>
      </c>
      <c r="K58" s="7" t="s">
        <v>376</v>
      </c>
      <c r="L58" s="7" t="s">
        <v>377</v>
      </c>
    </row>
    <row r="59" spans="1:12" ht="14.4" x14ac:dyDescent="0.3">
      <c r="A59" s="1" t="s">
        <v>230</v>
      </c>
      <c r="B59" s="1" t="s">
        <v>65</v>
      </c>
      <c r="C59" s="1">
        <v>2</v>
      </c>
      <c r="D59" s="7" t="s">
        <v>370</v>
      </c>
      <c r="E59" s="7" t="s">
        <v>371</v>
      </c>
      <c r="F59" s="7">
        <v>17.998453894846101</v>
      </c>
      <c r="G59" s="7" t="s">
        <v>372</v>
      </c>
      <c r="H59" s="7">
        <v>158.200414565969</v>
      </c>
      <c r="I59" s="7">
        <v>304.11540953847299</v>
      </c>
      <c r="J59" s="7" t="s">
        <v>375</v>
      </c>
      <c r="K59" s="7" t="s">
        <v>376</v>
      </c>
      <c r="L59" s="7" t="s">
        <v>377</v>
      </c>
    </row>
    <row r="60" spans="1:12" ht="14.4" x14ac:dyDescent="0.3">
      <c r="A60" s="1" t="s">
        <v>231</v>
      </c>
      <c r="B60" s="1" t="s">
        <v>56</v>
      </c>
      <c r="C60" s="1">
        <v>2</v>
      </c>
      <c r="D60" s="7" t="s">
        <v>370</v>
      </c>
      <c r="E60" s="7" t="s">
        <v>371</v>
      </c>
      <c r="F60" s="7">
        <v>42.251544872613202</v>
      </c>
      <c r="G60" s="7" t="s">
        <v>372</v>
      </c>
      <c r="H60" s="7" t="s">
        <v>373</v>
      </c>
      <c r="I60" s="7" t="s">
        <v>374</v>
      </c>
      <c r="J60" s="7" t="s">
        <v>375</v>
      </c>
      <c r="K60" s="7" t="s">
        <v>376</v>
      </c>
      <c r="L60" s="7" t="s">
        <v>377</v>
      </c>
    </row>
    <row r="61" spans="1:12" ht="14.4" x14ac:dyDescent="0.3">
      <c r="A61" s="1" t="s">
        <v>232</v>
      </c>
      <c r="B61" s="1" t="s">
        <v>55</v>
      </c>
      <c r="C61" s="1">
        <v>2</v>
      </c>
      <c r="D61" s="7" t="s">
        <v>370</v>
      </c>
      <c r="E61" s="7" t="s">
        <v>371</v>
      </c>
      <c r="F61" s="7">
        <v>73.184708405291303</v>
      </c>
      <c r="G61" s="7" t="s">
        <v>372</v>
      </c>
      <c r="H61" s="7" t="s">
        <v>373</v>
      </c>
      <c r="I61" s="7" t="s">
        <v>374</v>
      </c>
      <c r="J61" s="7" t="s">
        <v>375</v>
      </c>
      <c r="K61" s="7" t="s">
        <v>376</v>
      </c>
      <c r="L61" s="7" t="s">
        <v>377</v>
      </c>
    </row>
    <row r="62" spans="1:12" ht="14.4" x14ac:dyDescent="0.3">
      <c r="A62" s="1" t="s">
        <v>233</v>
      </c>
      <c r="B62" s="1" t="s">
        <v>62</v>
      </c>
      <c r="C62" s="1">
        <v>2</v>
      </c>
      <c r="D62" s="7" t="s">
        <v>370</v>
      </c>
      <c r="E62" s="7" t="s">
        <v>371</v>
      </c>
      <c r="F62" s="7">
        <v>29.773416764274401</v>
      </c>
      <c r="G62" s="7" t="s">
        <v>372</v>
      </c>
      <c r="H62" s="7">
        <v>155.638598249555</v>
      </c>
      <c r="I62" s="7">
        <v>315.27223312646697</v>
      </c>
      <c r="J62" s="7" t="s">
        <v>375</v>
      </c>
      <c r="K62" s="7" t="s">
        <v>376</v>
      </c>
      <c r="L62" s="7" t="s">
        <v>377</v>
      </c>
    </row>
    <row r="63" spans="1:12" ht="14.4" x14ac:dyDescent="0.3">
      <c r="A63" s="1" t="s">
        <v>234</v>
      </c>
      <c r="B63" s="1" t="s">
        <v>86</v>
      </c>
      <c r="C63" s="1">
        <v>2</v>
      </c>
      <c r="D63" s="7" t="s">
        <v>370</v>
      </c>
      <c r="E63" s="7" t="s">
        <v>371</v>
      </c>
      <c r="F63" s="7">
        <v>29.457886798528001</v>
      </c>
      <c r="G63" s="7" t="s">
        <v>372</v>
      </c>
      <c r="H63" s="7">
        <v>320.62996221786102</v>
      </c>
      <c r="I63" s="7" t="s">
        <v>374</v>
      </c>
      <c r="J63" s="7" t="s">
        <v>375</v>
      </c>
      <c r="K63" s="7" t="s">
        <v>376</v>
      </c>
      <c r="L63" s="7" t="s">
        <v>377</v>
      </c>
    </row>
    <row r="64" spans="1:12" ht="14.4" x14ac:dyDescent="0.3">
      <c r="A64" s="1" t="s">
        <v>235</v>
      </c>
      <c r="B64" s="2" t="s">
        <v>348</v>
      </c>
      <c r="C64" s="1">
        <v>2</v>
      </c>
      <c r="D64" s="7" t="s">
        <v>370</v>
      </c>
      <c r="E64" s="7" t="s">
        <v>371</v>
      </c>
      <c r="F64" s="7">
        <v>12.6545589328961</v>
      </c>
      <c r="G64" s="7" t="s">
        <v>372</v>
      </c>
      <c r="H64" s="7">
        <v>6.9935006938031901</v>
      </c>
      <c r="I64" s="7" t="s">
        <v>374</v>
      </c>
      <c r="J64" s="7" t="s">
        <v>375</v>
      </c>
      <c r="K64" s="7" t="s">
        <v>376</v>
      </c>
      <c r="L64" s="7" t="s">
        <v>377</v>
      </c>
    </row>
    <row r="65" spans="1:12" ht="14.4" x14ac:dyDescent="0.3">
      <c r="A65" s="1" t="s">
        <v>236</v>
      </c>
      <c r="B65" s="1" t="s">
        <v>48</v>
      </c>
      <c r="C65" s="1">
        <v>2</v>
      </c>
      <c r="D65" s="7" t="s">
        <v>370</v>
      </c>
      <c r="E65" s="7" t="s">
        <v>371</v>
      </c>
      <c r="F65" s="7">
        <v>77.677199339479699</v>
      </c>
      <c r="G65" s="7" t="s">
        <v>372</v>
      </c>
      <c r="H65" s="7">
        <v>21.592577951387</v>
      </c>
      <c r="I65" s="7" t="s">
        <v>374</v>
      </c>
      <c r="J65" s="7" t="s">
        <v>375</v>
      </c>
      <c r="K65" s="7">
        <v>56.701094901233098</v>
      </c>
      <c r="L65" s="7" t="s">
        <v>377</v>
      </c>
    </row>
    <row r="66" spans="1:12" ht="14.4" x14ac:dyDescent="0.3">
      <c r="A66" s="1" t="s">
        <v>237</v>
      </c>
      <c r="B66" s="1" t="s">
        <v>47</v>
      </c>
      <c r="C66" s="1">
        <v>2</v>
      </c>
      <c r="D66" s="7" t="s">
        <v>370</v>
      </c>
      <c r="E66" s="7" t="s">
        <v>371</v>
      </c>
      <c r="F66" s="7">
        <v>56.702299315442403</v>
      </c>
      <c r="G66" s="7" t="s">
        <v>372</v>
      </c>
      <c r="H66" s="7">
        <v>4.2619814029188099</v>
      </c>
      <c r="I66" s="7" t="s">
        <v>374</v>
      </c>
      <c r="J66" s="7" t="s">
        <v>375</v>
      </c>
      <c r="K66" s="7" t="s">
        <v>376</v>
      </c>
      <c r="L66" s="7" t="s">
        <v>377</v>
      </c>
    </row>
    <row r="67" spans="1:12" ht="14.4" x14ac:dyDescent="0.3">
      <c r="A67" s="1" t="s">
        <v>238</v>
      </c>
      <c r="B67" s="1" t="s">
        <v>18</v>
      </c>
      <c r="C67" s="1">
        <v>2</v>
      </c>
      <c r="D67" s="7" t="s">
        <v>370</v>
      </c>
      <c r="E67" s="7" t="s">
        <v>371</v>
      </c>
      <c r="F67" s="7">
        <v>9.18414397217221</v>
      </c>
      <c r="G67" s="7" t="s">
        <v>372</v>
      </c>
      <c r="H67" s="7" t="s">
        <v>373</v>
      </c>
      <c r="I67" s="7" t="s">
        <v>374</v>
      </c>
      <c r="J67" s="7" t="s">
        <v>375</v>
      </c>
      <c r="K67" s="7" t="s">
        <v>376</v>
      </c>
      <c r="L67" s="7" t="s">
        <v>377</v>
      </c>
    </row>
    <row r="68" spans="1:12" ht="14.4" x14ac:dyDescent="0.3">
      <c r="A68" s="1" t="s">
        <v>239</v>
      </c>
      <c r="B68" s="1" t="s">
        <v>17</v>
      </c>
      <c r="C68" s="1">
        <v>2</v>
      </c>
      <c r="D68" s="7" t="s">
        <v>370</v>
      </c>
      <c r="E68" s="7" t="s">
        <v>371</v>
      </c>
      <c r="F68" s="7">
        <v>52.995127152681</v>
      </c>
      <c r="G68" s="7" t="s">
        <v>372</v>
      </c>
      <c r="H68" s="7" t="s">
        <v>373</v>
      </c>
      <c r="I68" s="7">
        <v>59.006397334207897</v>
      </c>
      <c r="J68" s="7" t="s">
        <v>375</v>
      </c>
      <c r="K68" s="7" t="s">
        <v>376</v>
      </c>
      <c r="L68" s="7" t="s">
        <v>377</v>
      </c>
    </row>
    <row r="69" spans="1:12" ht="14.4" x14ac:dyDescent="0.3">
      <c r="A69" s="1" t="s">
        <v>240</v>
      </c>
      <c r="B69" s="1" t="s">
        <v>12</v>
      </c>
      <c r="C69" s="1">
        <v>2</v>
      </c>
      <c r="D69" s="7" t="s">
        <v>370</v>
      </c>
      <c r="E69" s="7" t="s">
        <v>371</v>
      </c>
      <c r="F69" s="7">
        <v>42.140732700248499</v>
      </c>
      <c r="G69" s="7" t="s">
        <v>372</v>
      </c>
      <c r="H69" s="7" t="s">
        <v>373</v>
      </c>
      <c r="I69" s="7" t="s">
        <v>374</v>
      </c>
      <c r="J69" s="7" t="s">
        <v>375</v>
      </c>
      <c r="K69" s="7" t="s">
        <v>376</v>
      </c>
      <c r="L69" s="7" t="s">
        <v>377</v>
      </c>
    </row>
    <row r="70" spans="1:12" ht="14.4" x14ac:dyDescent="0.3">
      <c r="A70" s="1" t="s">
        <v>241</v>
      </c>
      <c r="B70" s="1" t="s">
        <v>11</v>
      </c>
      <c r="C70" s="1">
        <v>2</v>
      </c>
      <c r="D70" s="7" t="s">
        <v>370</v>
      </c>
      <c r="E70" s="7" t="s">
        <v>371</v>
      </c>
      <c r="F70" s="7">
        <v>220.76648937448201</v>
      </c>
      <c r="G70" s="7" t="s">
        <v>372</v>
      </c>
      <c r="H70" s="7" t="s">
        <v>373</v>
      </c>
      <c r="I70" s="7" t="s">
        <v>374</v>
      </c>
      <c r="J70" s="7" t="s">
        <v>375</v>
      </c>
      <c r="K70" s="7" t="s">
        <v>376</v>
      </c>
      <c r="L70" s="7">
        <v>157.744755174115</v>
      </c>
    </row>
    <row r="71" spans="1:12" ht="14.4" x14ac:dyDescent="0.3">
      <c r="A71" s="1" t="s">
        <v>242</v>
      </c>
      <c r="B71" s="1" t="s">
        <v>61</v>
      </c>
      <c r="C71" s="1">
        <v>2</v>
      </c>
      <c r="D71" s="7" t="s">
        <v>370</v>
      </c>
      <c r="E71" s="7" t="s">
        <v>371</v>
      </c>
      <c r="F71" s="7">
        <v>35.103234666317803</v>
      </c>
      <c r="G71" s="7" t="s">
        <v>372</v>
      </c>
      <c r="H71" s="7">
        <v>26.749322528583999</v>
      </c>
      <c r="I71" s="7" t="s">
        <v>374</v>
      </c>
      <c r="J71" s="7" t="s">
        <v>375</v>
      </c>
      <c r="K71" s="7" t="s">
        <v>376</v>
      </c>
      <c r="L71" s="7" t="s">
        <v>377</v>
      </c>
    </row>
    <row r="72" spans="1:12" ht="14.4" x14ac:dyDescent="0.3">
      <c r="A72" s="1" t="s">
        <v>243</v>
      </c>
      <c r="B72" s="1" t="s">
        <v>85</v>
      </c>
      <c r="C72" s="1">
        <v>2</v>
      </c>
      <c r="D72" s="7" t="s">
        <v>370</v>
      </c>
      <c r="E72" s="7" t="s">
        <v>371</v>
      </c>
      <c r="F72" s="7">
        <v>66.352672703225096</v>
      </c>
      <c r="G72" s="7" t="s">
        <v>372</v>
      </c>
      <c r="H72" s="7" t="s">
        <v>373</v>
      </c>
      <c r="I72" s="7" t="s">
        <v>374</v>
      </c>
      <c r="J72" s="7" t="s">
        <v>375</v>
      </c>
      <c r="K72" s="7" t="s">
        <v>376</v>
      </c>
      <c r="L72" s="7" t="s">
        <v>377</v>
      </c>
    </row>
    <row r="73" spans="1:12" ht="14.4" x14ac:dyDescent="0.3">
      <c r="A73" s="1" t="s">
        <v>244</v>
      </c>
      <c r="B73" s="1" t="s">
        <v>59</v>
      </c>
      <c r="C73" s="1">
        <v>2</v>
      </c>
      <c r="D73" s="7" t="s">
        <v>370</v>
      </c>
      <c r="E73" s="7" t="s">
        <v>371</v>
      </c>
      <c r="F73" s="7">
        <v>44.766240740040303</v>
      </c>
      <c r="G73" s="7" t="s">
        <v>372</v>
      </c>
      <c r="H73" s="7">
        <v>39.103570523710097</v>
      </c>
      <c r="I73" s="7" t="s">
        <v>374</v>
      </c>
      <c r="J73" s="7" t="s">
        <v>375</v>
      </c>
      <c r="K73" s="7" t="s">
        <v>376</v>
      </c>
      <c r="L73" s="7" t="s">
        <v>377</v>
      </c>
    </row>
    <row r="74" spans="1:12" ht="14.4" x14ac:dyDescent="0.3">
      <c r="A74" s="1" t="s">
        <v>245</v>
      </c>
      <c r="B74" s="1" t="s">
        <v>57</v>
      </c>
      <c r="C74" s="1">
        <v>2</v>
      </c>
      <c r="D74" s="7" t="s">
        <v>370</v>
      </c>
      <c r="E74" s="7" t="s">
        <v>371</v>
      </c>
      <c r="F74" s="7">
        <v>19.729644798526198</v>
      </c>
      <c r="G74" s="7" t="s">
        <v>372</v>
      </c>
      <c r="H74" s="7" t="s">
        <v>373</v>
      </c>
      <c r="I74" s="7" t="s">
        <v>374</v>
      </c>
      <c r="J74" s="7" t="s">
        <v>375</v>
      </c>
      <c r="K74" s="7" t="s">
        <v>376</v>
      </c>
      <c r="L74" s="7" t="s">
        <v>377</v>
      </c>
    </row>
    <row r="75" spans="1:12" ht="14.4" x14ac:dyDescent="0.3">
      <c r="A75" s="1" t="s">
        <v>246</v>
      </c>
      <c r="B75" s="1" t="s">
        <v>131</v>
      </c>
      <c r="C75" s="1">
        <v>2</v>
      </c>
      <c r="D75" s="7" t="s">
        <v>370</v>
      </c>
      <c r="E75" s="7" t="s">
        <v>371</v>
      </c>
      <c r="F75" s="7">
        <v>104.839446088438</v>
      </c>
      <c r="G75" s="7" t="s">
        <v>372</v>
      </c>
      <c r="H75" s="7">
        <v>3.7227370478514401</v>
      </c>
      <c r="I75" s="7" t="s">
        <v>374</v>
      </c>
      <c r="J75" s="7" t="s">
        <v>375</v>
      </c>
      <c r="K75" s="7" t="s">
        <v>376</v>
      </c>
      <c r="L75" s="7" t="s">
        <v>377</v>
      </c>
    </row>
    <row r="76" spans="1:12" ht="14.4" x14ac:dyDescent="0.3">
      <c r="A76" s="1" t="s">
        <v>247</v>
      </c>
      <c r="B76" s="1" t="s">
        <v>124</v>
      </c>
      <c r="C76" s="1">
        <v>2</v>
      </c>
      <c r="D76" s="7" t="s">
        <v>370</v>
      </c>
      <c r="E76" s="7" t="s">
        <v>371</v>
      </c>
      <c r="F76" s="7">
        <v>46.377342000827497</v>
      </c>
      <c r="G76" s="7" t="s">
        <v>372</v>
      </c>
      <c r="H76" s="7">
        <v>3.71620391188821</v>
      </c>
      <c r="I76" s="7" t="s">
        <v>374</v>
      </c>
      <c r="J76" s="7" t="s">
        <v>375</v>
      </c>
      <c r="K76" s="7" t="s">
        <v>376</v>
      </c>
      <c r="L76" s="7" t="s">
        <v>377</v>
      </c>
    </row>
    <row r="77" spans="1:12" ht="14.4" x14ac:dyDescent="0.3">
      <c r="A77" s="1" t="s">
        <v>248</v>
      </c>
      <c r="B77" s="1" t="s">
        <v>122</v>
      </c>
      <c r="C77" s="1">
        <v>2</v>
      </c>
      <c r="D77" s="7" t="s">
        <v>370</v>
      </c>
      <c r="E77" s="7" t="s">
        <v>371</v>
      </c>
      <c r="F77" s="7">
        <v>55.664560700185397</v>
      </c>
      <c r="G77" s="7" t="s">
        <v>372</v>
      </c>
      <c r="H77" s="7">
        <v>4.3531023043910198</v>
      </c>
      <c r="I77" s="7" t="s">
        <v>374</v>
      </c>
      <c r="J77" s="7" t="s">
        <v>375</v>
      </c>
      <c r="K77" s="7" t="s">
        <v>376</v>
      </c>
      <c r="L77" s="7" t="s">
        <v>377</v>
      </c>
    </row>
    <row r="78" spans="1:12" ht="14.4" x14ac:dyDescent="0.3">
      <c r="A78" s="1" t="s">
        <v>249</v>
      </c>
      <c r="B78" s="1" t="s">
        <v>127</v>
      </c>
      <c r="C78" s="1">
        <v>2</v>
      </c>
      <c r="D78" s="7" t="s">
        <v>370</v>
      </c>
      <c r="E78" s="7" t="s">
        <v>371</v>
      </c>
      <c r="F78" s="7">
        <v>30.1976155015596</v>
      </c>
      <c r="G78" s="7" t="s">
        <v>372</v>
      </c>
      <c r="H78" s="7">
        <v>10.168433711687101</v>
      </c>
      <c r="I78" s="7" t="s">
        <v>374</v>
      </c>
      <c r="J78" s="7" t="s">
        <v>375</v>
      </c>
      <c r="K78" s="7" t="s">
        <v>376</v>
      </c>
      <c r="L78" s="7" t="s">
        <v>377</v>
      </c>
    </row>
    <row r="79" spans="1:12" ht="14.4" x14ac:dyDescent="0.3">
      <c r="A79" s="1" t="s">
        <v>250</v>
      </c>
      <c r="B79" s="1" t="s">
        <v>129</v>
      </c>
      <c r="C79" s="1">
        <v>2</v>
      </c>
      <c r="D79" s="7" t="s">
        <v>370</v>
      </c>
      <c r="E79" s="7" t="s">
        <v>371</v>
      </c>
      <c r="F79" s="7">
        <v>15.8380906003507</v>
      </c>
      <c r="G79" s="7" t="s">
        <v>372</v>
      </c>
      <c r="H79" s="7" t="s">
        <v>373</v>
      </c>
      <c r="I79" s="7" t="s">
        <v>374</v>
      </c>
      <c r="J79" s="7" t="s">
        <v>375</v>
      </c>
      <c r="K79" s="7" t="s">
        <v>376</v>
      </c>
      <c r="L79" s="7" t="s">
        <v>377</v>
      </c>
    </row>
    <row r="80" spans="1:12" ht="14.4" x14ac:dyDescent="0.3">
      <c r="A80" s="1" t="s">
        <v>251</v>
      </c>
      <c r="B80" s="1" t="s">
        <v>25</v>
      </c>
      <c r="C80" s="1">
        <v>2</v>
      </c>
      <c r="D80" s="7" t="s">
        <v>370</v>
      </c>
      <c r="E80" s="7" t="s">
        <v>371</v>
      </c>
      <c r="F80" s="7">
        <v>76.043958616389702</v>
      </c>
      <c r="G80" s="7" t="s">
        <v>372</v>
      </c>
      <c r="H80" s="7">
        <v>23.044499757642999</v>
      </c>
      <c r="I80" s="7" t="s">
        <v>374</v>
      </c>
      <c r="J80" s="7" t="s">
        <v>375</v>
      </c>
      <c r="K80" s="7" t="s">
        <v>376</v>
      </c>
      <c r="L80" s="7" t="s">
        <v>377</v>
      </c>
    </row>
    <row r="81" spans="1:12" ht="14.4" x14ac:dyDescent="0.3">
      <c r="A81" s="1" t="s">
        <v>252</v>
      </c>
      <c r="B81" s="1" t="s">
        <v>14</v>
      </c>
      <c r="C81" s="1">
        <v>2</v>
      </c>
      <c r="D81" s="7" t="s">
        <v>370</v>
      </c>
      <c r="E81" s="7" t="s">
        <v>371</v>
      </c>
      <c r="F81" s="7">
        <v>32.622136443786701</v>
      </c>
      <c r="G81" s="7" t="s">
        <v>372</v>
      </c>
      <c r="H81" s="7">
        <v>41.693621166776197</v>
      </c>
      <c r="I81" s="7" t="s">
        <v>374</v>
      </c>
      <c r="J81" s="7" t="s">
        <v>375</v>
      </c>
      <c r="K81" s="7" t="s">
        <v>376</v>
      </c>
      <c r="L81" s="7">
        <v>6.7087775142393804</v>
      </c>
    </row>
    <row r="82" spans="1:12" ht="14.4" x14ac:dyDescent="0.3">
      <c r="A82" s="1" t="s">
        <v>253</v>
      </c>
      <c r="B82" s="1" t="s">
        <v>24</v>
      </c>
      <c r="C82" s="1">
        <v>2</v>
      </c>
      <c r="D82" s="7" t="s">
        <v>370</v>
      </c>
      <c r="E82" s="7" t="s">
        <v>371</v>
      </c>
      <c r="F82" s="7">
        <v>50.534210068901203</v>
      </c>
      <c r="G82" s="7" t="s">
        <v>372</v>
      </c>
      <c r="H82" s="7" t="s">
        <v>373</v>
      </c>
      <c r="I82" s="7" t="s">
        <v>374</v>
      </c>
      <c r="J82" s="7" t="s">
        <v>375</v>
      </c>
      <c r="K82" s="7" t="s">
        <v>376</v>
      </c>
      <c r="L82" s="7" t="s">
        <v>377</v>
      </c>
    </row>
    <row r="83" spans="1:12" ht="14.4" x14ac:dyDescent="0.3">
      <c r="A83" s="1" t="s">
        <v>254</v>
      </c>
      <c r="B83" s="1" t="s">
        <v>15</v>
      </c>
      <c r="C83" s="1">
        <v>2</v>
      </c>
      <c r="D83" s="7" t="s">
        <v>370</v>
      </c>
      <c r="E83" s="7" t="s">
        <v>371</v>
      </c>
      <c r="F83" s="7">
        <v>76.406482142961494</v>
      </c>
      <c r="G83" s="7" t="s">
        <v>372</v>
      </c>
      <c r="H83" s="7">
        <v>5.3045885327843596</v>
      </c>
      <c r="I83" s="7" t="s">
        <v>374</v>
      </c>
      <c r="J83" s="7" t="s">
        <v>375</v>
      </c>
      <c r="K83" s="7" t="s">
        <v>376</v>
      </c>
      <c r="L83" s="7" t="s">
        <v>377</v>
      </c>
    </row>
    <row r="84" spans="1:12" ht="14.4" x14ac:dyDescent="0.3">
      <c r="A84" s="1" t="s">
        <v>255</v>
      </c>
      <c r="B84" s="1" t="s">
        <v>53</v>
      </c>
      <c r="C84" s="1">
        <v>2</v>
      </c>
      <c r="D84" s="7" t="s">
        <v>370</v>
      </c>
      <c r="E84" s="7" t="s">
        <v>371</v>
      </c>
      <c r="F84" s="7">
        <v>32.188464714667901</v>
      </c>
      <c r="G84" s="7" t="s">
        <v>372</v>
      </c>
      <c r="H84" s="7" t="s">
        <v>373</v>
      </c>
      <c r="I84" s="7" t="s">
        <v>374</v>
      </c>
      <c r="J84" s="7" t="s">
        <v>375</v>
      </c>
      <c r="K84" s="7" t="s">
        <v>376</v>
      </c>
      <c r="L84" s="7" t="s">
        <v>377</v>
      </c>
    </row>
    <row r="85" spans="1:12" ht="14.4" x14ac:dyDescent="0.3">
      <c r="A85" s="1" t="s">
        <v>256</v>
      </c>
      <c r="B85" s="1" t="s">
        <v>32</v>
      </c>
      <c r="C85" s="1">
        <v>2</v>
      </c>
      <c r="D85" s="7" t="s">
        <v>370</v>
      </c>
      <c r="E85" s="7" t="s">
        <v>371</v>
      </c>
      <c r="F85" s="7">
        <v>77.089408294758897</v>
      </c>
      <c r="G85" s="7" t="s">
        <v>372</v>
      </c>
      <c r="H85" s="7" t="s">
        <v>373</v>
      </c>
      <c r="I85" s="7" t="s">
        <v>374</v>
      </c>
      <c r="J85" s="7" t="s">
        <v>375</v>
      </c>
      <c r="K85" s="7" t="s">
        <v>376</v>
      </c>
      <c r="L85" s="7" t="s">
        <v>377</v>
      </c>
    </row>
    <row r="86" spans="1:12" ht="14.4" x14ac:dyDescent="0.3">
      <c r="A86" s="1" t="s">
        <v>257</v>
      </c>
      <c r="B86" s="1" t="s">
        <v>52</v>
      </c>
      <c r="C86" s="1">
        <v>2</v>
      </c>
      <c r="D86" s="7" t="s">
        <v>370</v>
      </c>
      <c r="E86" s="7" t="s">
        <v>371</v>
      </c>
      <c r="F86" s="7">
        <v>50.197626521871904</v>
      </c>
      <c r="G86" s="7" t="s">
        <v>372</v>
      </c>
      <c r="H86" s="7" t="s">
        <v>373</v>
      </c>
      <c r="I86" s="7" t="s">
        <v>374</v>
      </c>
      <c r="J86" s="7" t="s">
        <v>375</v>
      </c>
      <c r="K86" s="7" t="s">
        <v>376</v>
      </c>
      <c r="L86" s="7" t="s">
        <v>377</v>
      </c>
    </row>
    <row r="87" spans="1:12" ht="14.4" x14ac:dyDescent="0.3">
      <c r="A87" s="1" t="s">
        <v>258</v>
      </c>
      <c r="B87" s="1" t="s">
        <v>33</v>
      </c>
      <c r="C87" s="1">
        <v>2</v>
      </c>
      <c r="D87" s="7" t="s">
        <v>370</v>
      </c>
      <c r="E87" s="7" t="s">
        <v>371</v>
      </c>
      <c r="F87" s="7">
        <v>61.295508585731298</v>
      </c>
      <c r="G87" s="7" t="s">
        <v>372</v>
      </c>
      <c r="H87" s="7" t="s">
        <v>373</v>
      </c>
      <c r="I87" s="7" t="s">
        <v>374</v>
      </c>
      <c r="J87" s="7" t="s">
        <v>375</v>
      </c>
      <c r="K87" s="7" t="s">
        <v>376</v>
      </c>
      <c r="L87" s="7" t="s">
        <v>377</v>
      </c>
    </row>
    <row r="88" spans="1:12" ht="14.4" x14ac:dyDescent="0.3">
      <c r="A88" s="1" t="s">
        <v>259</v>
      </c>
      <c r="B88" s="1" t="s">
        <v>82</v>
      </c>
      <c r="C88" s="1">
        <v>2</v>
      </c>
      <c r="D88" s="7" t="s">
        <v>370</v>
      </c>
      <c r="E88" s="7" t="s">
        <v>371</v>
      </c>
      <c r="F88" s="7">
        <v>9.3459482636884896</v>
      </c>
      <c r="G88" s="7" t="s">
        <v>372</v>
      </c>
      <c r="H88" s="7">
        <v>3.7467347185373798</v>
      </c>
      <c r="I88" s="7" t="s">
        <v>374</v>
      </c>
      <c r="J88" s="7" t="s">
        <v>375</v>
      </c>
      <c r="K88" s="7" t="s">
        <v>376</v>
      </c>
      <c r="L88" s="7" t="s">
        <v>377</v>
      </c>
    </row>
    <row r="89" spans="1:12" ht="14.4" x14ac:dyDescent="0.3">
      <c r="A89" s="1" t="s">
        <v>260</v>
      </c>
      <c r="B89" s="1" t="s">
        <v>84</v>
      </c>
      <c r="C89" s="1">
        <v>2</v>
      </c>
      <c r="D89" s="7" t="s">
        <v>370</v>
      </c>
      <c r="E89" s="7" t="s">
        <v>371</v>
      </c>
      <c r="F89" s="7">
        <v>112.44385624554801</v>
      </c>
      <c r="G89" s="7" t="s">
        <v>372</v>
      </c>
      <c r="H89" s="7" t="s">
        <v>373</v>
      </c>
      <c r="I89" s="7" t="s">
        <v>374</v>
      </c>
      <c r="J89" s="7" t="s">
        <v>375</v>
      </c>
      <c r="K89" s="7" t="s">
        <v>376</v>
      </c>
      <c r="L89" s="7">
        <v>11.1020141582525</v>
      </c>
    </row>
    <row r="90" spans="1:12" ht="14.4" x14ac:dyDescent="0.3">
      <c r="A90" s="1" t="s">
        <v>261</v>
      </c>
      <c r="B90" s="1" t="s">
        <v>126</v>
      </c>
      <c r="C90" s="1">
        <v>2</v>
      </c>
      <c r="D90" s="7" t="s">
        <v>370</v>
      </c>
      <c r="E90" s="7" t="s">
        <v>371</v>
      </c>
      <c r="F90" s="7">
        <v>78.351028888948207</v>
      </c>
      <c r="G90" s="7" t="s">
        <v>372</v>
      </c>
      <c r="H90" s="7">
        <v>8.9966602062115992</v>
      </c>
      <c r="I90" s="7" t="s">
        <v>374</v>
      </c>
      <c r="J90" s="7" t="s">
        <v>375</v>
      </c>
      <c r="K90" s="7" t="s">
        <v>376</v>
      </c>
      <c r="L90" s="7" t="s">
        <v>377</v>
      </c>
    </row>
    <row r="91" spans="1:12" ht="14.4" x14ac:dyDescent="0.3">
      <c r="A91" s="1" t="s">
        <v>262</v>
      </c>
      <c r="B91" s="1" t="s">
        <v>125</v>
      </c>
      <c r="C91" s="1">
        <v>2</v>
      </c>
      <c r="D91" s="7" t="s">
        <v>370</v>
      </c>
      <c r="E91" s="7" t="s">
        <v>371</v>
      </c>
      <c r="F91" s="7">
        <v>31.904993277920902</v>
      </c>
      <c r="G91" s="7" t="s">
        <v>372</v>
      </c>
      <c r="H91" s="7">
        <v>7.1349203444260896</v>
      </c>
      <c r="I91" s="7" t="s">
        <v>374</v>
      </c>
      <c r="J91" s="7" t="s">
        <v>375</v>
      </c>
      <c r="K91" s="7" t="s">
        <v>376</v>
      </c>
      <c r="L91" s="7" t="s">
        <v>377</v>
      </c>
    </row>
    <row r="92" spans="1:12" ht="14.4" x14ac:dyDescent="0.3">
      <c r="A92" s="1" t="s">
        <v>263</v>
      </c>
      <c r="B92" s="1" t="s">
        <v>130</v>
      </c>
      <c r="C92" s="1">
        <v>2</v>
      </c>
      <c r="D92" s="7">
        <v>4.9373856104066496</v>
      </c>
      <c r="E92" s="7" t="s">
        <v>371</v>
      </c>
      <c r="F92" s="7">
        <v>40.353435846057501</v>
      </c>
      <c r="G92" s="7" t="s">
        <v>372</v>
      </c>
      <c r="H92" s="7">
        <v>7.5518782910800804</v>
      </c>
      <c r="I92" s="7" t="s">
        <v>374</v>
      </c>
      <c r="J92" s="7" t="s">
        <v>375</v>
      </c>
      <c r="K92" s="7" t="s">
        <v>376</v>
      </c>
      <c r="L92" s="7" t="s">
        <v>377</v>
      </c>
    </row>
    <row r="93" spans="1:12" ht="14.4" x14ac:dyDescent="0.3">
      <c r="A93" s="1" t="s">
        <v>264</v>
      </c>
      <c r="B93" s="1" t="s">
        <v>99</v>
      </c>
      <c r="C93" s="1">
        <v>2</v>
      </c>
      <c r="D93" s="7" t="s">
        <v>370</v>
      </c>
      <c r="E93" s="7" t="s">
        <v>371</v>
      </c>
      <c r="F93" s="7">
        <v>31.1298885731395</v>
      </c>
      <c r="G93" s="7" t="s">
        <v>372</v>
      </c>
      <c r="H93" s="7">
        <v>5.8155075145022304</v>
      </c>
      <c r="I93" s="7">
        <v>59.905924834063597</v>
      </c>
      <c r="J93" s="7" t="s">
        <v>375</v>
      </c>
      <c r="K93" s="7" t="s">
        <v>376</v>
      </c>
      <c r="L93" s="7" t="s">
        <v>377</v>
      </c>
    </row>
    <row r="94" spans="1:12" ht="14.4" x14ac:dyDescent="0.3">
      <c r="A94" s="1" t="s">
        <v>265</v>
      </c>
      <c r="B94" s="1" t="s">
        <v>110</v>
      </c>
      <c r="C94" s="1">
        <v>2</v>
      </c>
      <c r="D94" s="7" t="s">
        <v>370</v>
      </c>
      <c r="E94" s="7" t="s">
        <v>371</v>
      </c>
      <c r="F94" s="7">
        <v>45.132166117909797</v>
      </c>
      <c r="G94" s="7" t="s">
        <v>372</v>
      </c>
      <c r="H94" s="7">
        <v>6.5552043089427503</v>
      </c>
      <c r="I94" s="7" t="s">
        <v>374</v>
      </c>
      <c r="J94" s="7" t="s">
        <v>375</v>
      </c>
      <c r="K94" s="7" t="s">
        <v>376</v>
      </c>
      <c r="L94" s="7" t="s">
        <v>377</v>
      </c>
    </row>
    <row r="95" spans="1:12" ht="14.4" x14ac:dyDescent="0.3">
      <c r="A95" s="1" t="s">
        <v>266</v>
      </c>
      <c r="B95" s="1" t="s">
        <v>109</v>
      </c>
      <c r="C95" s="1">
        <v>2</v>
      </c>
      <c r="D95" s="7" t="s">
        <v>370</v>
      </c>
      <c r="E95" s="7" t="s">
        <v>371</v>
      </c>
      <c r="F95" s="7">
        <v>84.3755925587311</v>
      </c>
      <c r="G95" s="7" t="s">
        <v>372</v>
      </c>
      <c r="H95" s="7">
        <v>30.685110623456499</v>
      </c>
      <c r="I95" s="7" t="s">
        <v>374</v>
      </c>
      <c r="J95" s="7" t="s">
        <v>375</v>
      </c>
      <c r="K95" s="7" t="s">
        <v>376</v>
      </c>
      <c r="L95" s="7" t="s">
        <v>377</v>
      </c>
    </row>
    <row r="96" spans="1:12" ht="14.4" x14ac:dyDescent="0.3">
      <c r="A96" s="1" t="s">
        <v>267</v>
      </c>
      <c r="B96" s="1" t="s">
        <v>108</v>
      </c>
      <c r="C96" s="1">
        <v>2</v>
      </c>
      <c r="D96" s="7" t="s">
        <v>370</v>
      </c>
      <c r="E96" s="7" t="s">
        <v>371</v>
      </c>
      <c r="F96" s="7">
        <v>36.432518462485199</v>
      </c>
      <c r="G96" s="7" t="s">
        <v>372</v>
      </c>
      <c r="H96" s="7">
        <v>63.241185945830601</v>
      </c>
      <c r="I96" s="7" t="s">
        <v>374</v>
      </c>
      <c r="J96" s="7" t="s">
        <v>375</v>
      </c>
      <c r="K96" s="7" t="s">
        <v>376</v>
      </c>
      <c r="L96" s="7" t="s">
        <v>377</v>
      </c>
    </row>
    <row r="97" spans="1:12" ht="14.4" x14ac:dyDescent="0.3">
      <c r="A97" s="1" t="s">
        <v>268</v>
      </c>
      <c r="B97" s="1" t="s">
        <v>100</v>
      </c>
      <c r="C97" s="1">
        <v>2</v>
      </c>
      <c r="D97" s="7" t="s">
        <v>370</v>
      </c>
      <c r="E97" s="7" t="s">
        <v>371</v>
      </c>
      <c r="F97" s="7">
        <v>33.854234388047701</v>
      </c>
      <c r="G97" s="7" t="s">
        <v>372</v>
      </c>
      <c r="H97" s="7">
        <v>35.175891065577197</v>
      </c>
      <c r="I97" s="7" t="s">
        <v>374</v>
      </c>
      <c r="J97" s="7" t="s">
        <v>375</v>
      </c>
      <c r="K97" s="7" t="s">
        <v>376</v>
      </c>
      <c r="L97" s="7" t="s">
        <v>377</v>
      </c>
    </row>
    <row r="98" spans="1:12" ht="14.4" x14ac:dyDescent="0.3">
      <c r="A98" s="1" t="s">
        <v>269</v>
      </c>
      <c r="B98" s="1" t="s">
        <v>101</v>
      </c>
      <c r="C98" s="1">
        <v>2</v>
      </c>
      <c r="D98" s="7" t="s">
        <v>370</v>
      </c>
      <c r="E98" s="7" t="s">
        <v>371</v>
      </c>
      <c r="F98" s="7">
        <v>29.766850531604501</v>
      </c>
      <c r="G98" s="7" t="s">
        <v>372</v>
      </c>
      <c r="H98" s="7">
        <v>18.8170498915017</v>
      </c>
      <c r="I98" s="7" t="s">
        <v>374</v>
      </c>
      <c r="J98" s="7" t="s">
        <v>375</v>
      </c>
      <c r="K98" s="7" t="s">
        <v>376</v>
      </c>
      <c r="L98" s="7" t="s">
        <v>377</v>
      </c>
    </row>
    <row r="99" spans="1:12" ht="14.4" x14ac:dyDescent="0.3">
      <c r="A99" s="1" t="s">
        <v>270</v>
      </c>
      <c r="B99" s="1" t="s">
        <v>104</v>
      </c>
      <c r="C99" s="1">
        <v>2</v>
      </c>
      <c r="D99" s="7" t="s">
        <v>370</v>
      </c>
      <c r="E99" s="7" t="s">
        <v>371</v>
      </c>
      <c r="F99" s="7">
        <v>73.912318679259499</v>
      </c>
      <c r="G99" s="7" t="s">
        <v>372</v>
      </c>
      <c r="H99" s="7">
        <v>24.784246974364901</v>
      </c>
      <c r="I99" s="7" t="s">
        <v>374</v>
      </c>
      <c r="J99" s="7" t="s">
        <v>375</v>
      </c>
      <c r="K99" s="7" t="s">
        <v>376</v>
      </c>
      <c r="L99" s="7">
        <v>8.6923904300445205</v>
      </c>
    </row>
    <row r="100" spans="1:12" ht="14.4" x14ac:dyDescent="0.3">
      <c r="A100" s="1" t="s">
        <v>271</v>
      </c>
      <c r="B100" s="1" t="s">
        <v>34</v>
      </c>
      <c r="C100" s="1">
        <v>2</v>
      </c>
      <c r="D100" s="7" t="s">
        <v>370</v>
      </c>
      <c r="E100" s="7" t="s">
        <v>371</v>
      </c>
      <c r="F100" s="7">
        <v>40.054460486414698</v>
      </c>
      <c r="G100" s="7" t="s">
        <v>372</v>
      </c>
      <c r="H100" s="7" t="s">
        <v>373</v>
      </c>
      <c r="I100" s="7" t="s">
        <v>374</v>
      </c>
      <c r="J100" s="7" t="s">
        <v>375</v>
      </c>
      <c r="K100" s="7" t="s">
        <v>376</v>
      </c>
      <c r="L100" s="7" t="s">
        <v>377</v>
      </c>
    </row>
    <row r="101" spans="1:12" ht="14.4" x14ac:dyDescent="0.3">
      <c r="A101" s="1" t="s">
        <v>272</v>
      </c>
      <c r="B101" s="1" t="s">
        <v>31</v>
      </c>
      <c r="C101" s="1">
        <v>2</v>
      </c>
      <c r="D101" s="7" t="s">
        <v>370</v>
      </c>
      <c r="E101" s="7" t="s">
        <v>371</v>
      </c>
      <c r="F101" s="7">
        <v>95.582794902133898</v>
      </c>
      <c r="G101" s="7" t="s">
        <v>372</v>
      </c>
      <c r="H101" s="7">
        <v>19.327957894213</v>
      </c>
      <c r="I101" s="7" t="s">
        <v>374</v>
      </c>
      <c r="J101" s="7" t="s">
        <v>375</v>
      </c>
      <c r="K101" s="7" t="s">
        <v>376</v>
      </c>
      <c r="L101" s="7">
        <v>57.964358260265001</v>
      </c>
    </row>
    <row r="102" spans="1:12" ht="14.4" x14ac:dyDescent="0.3">
      <c r="A102" s="1" t="s">
        <v>273</v>
      </c>
      <c r="B102" s="1" t="s">
        <v>36</v>
      </c>
      <c r="C102" s="1">
        <v>2</v>
      </c>
      <c r="D102" s="7" t="s">
        <v>370</v>
      </c>
      <c r="E102" s="7" t="s">
        <v>371</v>
      </c>
      <c r="F102" s="7">
        <v>50.127760296218</v>
      </c>
      <c r="G102" s="7" t="s">
        <v>372</v>
      </c>
      <c r="H102" s="7">
        <v>3.3845059278168699</v>
      </c>
      <c r="I102" s="7" t="s">
        <v>374</v>
      </c>
      <c r="J102" s="7" t="s">
        <v>375</v>
      </c>
      <c r="K102" s="7" t="s">
        <v>376</v>
      </c>
      <c r="L102" s="7">
        <v>7.1196015001173398</v>
      </c>
    </row>
    <row r="103" spans="1:12" ht="14.4" x14ac:dyDescent="0.3">
      <c r="A103" s="1" t="s">
        <v>274</v>
      </c>
      <c r="B103" s="1" t="s">
        <v>23</v>
      </c>
      <c r="C103" s="1">
        <v>2</v>
      </c>
      <c r="D103" s="7" t="s">
        <v>370</v>
      </c>
      <c r="E103" s="7" t="s">
        <v>371</v>
      </c>
      <c r="F103" s="7">
        <v>70.082419973529795</v>
      </c>
      <c r="G103" s="7" t="s">
        <v>372</v>
      </c>
      <c r="H103" s="7" t="s">
        <v>373</v>
      </c>
      <c r="I103" s="7" t="s">
        <v>374</v>
      </c>
      <c r="J103" s="7" t="s">
        <v>375</v>
      </c>
      <c r="K103" s="7" t="s">
        <v>376</v>
      </c>
      <c r="L103" s="7" t="s">
        <v>377</v>
      </c>
    </row>
    <row r="104" spans="1:12" ht="14.4" x14ac:dyDescent="0.3">
      <c r="A104" s="1" t="s">
        <v>275</v>
      </c>
      <c r="B104" s="1" t="s">
        <v>81</v>
      </c>
      <c r="C104" s="1">
        <v>2</v>
      </c>
      <c r="D104" s="7" t="s">
        <v>370</v>
      </c>
      <c r="E104" s="7" t="s">
        <v>371</v>
      </c>
      <c r="F104" s="7">
        <v>38.195329810463903</v>
      </c>
      <c r="G104" s="7" t="s">
        <v>372</v>
      </c>
      <c r="H104" s="7" t="s">
        <v>373</v>
      </c>
      <c r="I104" s="7" t="s">
        <v>374</v>
      </c>
      <c r="J104" s="7" t="s">
        <v>375</v>
      </c>
      <c r="K104" s="7" t="s">
        <v>376</v>
      </c>
      <c r="L104" s="7" t="s">
        <v>377</v>
      </c>
    </row>
    <row r="105" spans="1:12" ht="14.4" x14ac:dyDescent="0.3">
      <c r="A105" s="1" t="s">
        <v>276</v>
      </c>
      <c r="B105" s="1" t="s">
        <v>58</v>
      </c>
      <c r="C105" s="1">
        <v>2</v>
      </c>
      <c r="D105" s="7" t="s">
        <v>370</v>
      </c>
      <c r="E105" s="7" t="s">
        <v>371</v>
      </c>
      <c r="F105" s="7">
        <v>19.040172875395399</v>
      </c>
      <c r="G105" s="7" t="s">
        <v>372</v>
      </c>
      <c r="H105" s="7" t="s">
        <v>373</v>
      </c>
      <c r="I105" s="7" t="s">
        <v>374</v>
      </c>
      <c r="J105" s="7" t="s">
        <v>375</v>
      </c>
      <c r="K105" s="7" t="s">
        <v>376</v>
      </c>
      <c r="L105" s="7" t="s">
        <v>377</v>
      </c>
    </row>
    <row r="106" spans="1:12" ht="14.4" x14ac:dyDescent="0.3">
      <c r="A106" s="1" t="s">
        <v>277</v>
      </c>
      <c r="B106" s="1" t="s">
        <v>79</v>
      </c>
      <c r="C106" s="1">
        <v>2</v>
      </c>
      <c r="D106" s="7" t="s">
        <v>370</v>
      </c>
      <c r="E106" s="7" t="s">
        <v>371</v>
      </c>
      <c r="F106" s="7">
        <v>33.197551324979798</v>
      </c>
      <c r="G106" s="7" t="s">
        <v>372</v>
      </c>
      <c r="H106" s="7" t="s">
        <v>373</v>
      </c>
      <c r="I106" s="7" t="s">
        <v>374</v>
      </c>
      <c r="J106" s="7" t="s">
        <v>375</v>
      </c>
      <c r="K106" s="7" t="s">
        <v>376</v>
      </c>
      <c r="L106" s="7" t="s">
        <v>377</v>
      </c>
    </row>
    <row r="107" spans="1:12" ht="14.4" x14ac:dyDescent="0.3">
      <c r="A107" s="1" t="s">
        <v>278</v>
      </c>
      <c r="B107" s="1" t="s">
        <v>75</v>
      </c>
      <c r="C107" s="1">
        <v>2</v>
      </c>
      <c r="D107" s="7" t="s">
        <v>370</v>
      </c>
      <c r="E107" s="7" t="s">
        <v>371</v>
      </c>
      <c r="F107" s="7">
        <v>25.1431040230785</v>
      </c>
      <c r="G107" s="7" t="s">
        <v>372</v>
      </c>
      <c r="H107" s="7">
        <v>25.314084947156999</v>
      </c>
      <c r="I107" s="7" t="s">
        <v>374</v>
      </c>
      <c r="J107" s="7" t="s">
        <v>375</v>
      </c>
      <c r="K107" s="7" t="s">
        <v>376</v>
      </c>
      <c r="L107" s="7" t="s">
        <v>377</v>
      </c>
    </row>
    <row r="108" spans="1:12" ht="14.4" x14ac:dyDescent="0.3">
      <c r="A108" s="1" t="s">
        <v>279</v>
      </c>
      <c r="B108" s="1" t="s">
        <v>103</v>
      </c>
      <c r="C108" s="1">
        <v>2</v>
      </c>
      <c r="D108" s="7" t="s">
        <v>370</v>
      </c>
      <c r="E108" s="7" t="s">
        <v>371</v>
      </c>
      <c r="F108" s="7">
        <v>250.995306749896</v>
      </c>
      <c r="G108" s="7" t="s">
        <v>372</v>
      </c>
      <c r="H108" s="7">
        <v>145.327028890669</v>
      </c>
      <c r="I108" s="7" t="s">
        <v>374</v>
      </c>
      <c r="J108" s="7" t="s">
        <v>375</v>
      </c>
      <c r="K108" s="7" t="s">
        <v>376</v>
      </c>
      <c r="L108" s="7">
        <v>28.908930790047201</v>
      </c>
    </row>
    <row r="109" spans="1:12" ht="14.4" x14ac:dyDescent="0.3">
      <c r="A109" s="1" t="s">
        <v>280</v>
      </c>
      <c r="B109" s="1" t="s">
        <v>105</v>
      </c>
      <c r="C109" s="1">
        <v>2</v>
      </c>
      <c r="D109" s="7" t="s">
        <v>370</v>
      </c>
      <c r="E109" s="7" t="s">
        <v>371</v>
      </c>
      <c r="F109" s="7">
        <v>31.385738882564201</v>
      </c>
      <c r="G109" s="7" t="s">
        <v>372</v>
      </c>
      <c r="H109" s="7">
        <v>13.584894452472501</v>
      </c>
      <c r="I109" s="7" t="s">
        <v>374</v>
      </c>
      <c r="J109" s="7" t="s">
        <v>375</v>
      </c>
      <c r="K109" s="7" t="s">
        <v>376</v>
      </c>
      <c r="L109" s="7" t="s">
        <v>377</v>
      </c>
    </row>
    <row r="110" spans="1:12" ht="14.4" x14ac:dyDescent="0.3">
      <c r="A110" s="1" t="s">
        <v>281</v>
      </c>
      <c r="B110" s="1" t="s">
        <v>102</v>
      </c>
      <c r="C110" s="1">
        <v>2</v>
      </c>
      <c r="D110" s="7" t="s">
        <v>370</v>
      </c>
      <c r="E110" s="7" t="s">
        <v>371</v>
      </c>
      <c r="F110" s="7">
        <v>11.5993619305994</v>
      </c>
      <c r="G110" s="7" t="s">
        <v>372</v>
      </c>
      <c r="H110" s="7">
        <v>17.542331691326499</v>
      </c>
      <c r="I110" s="7" t="s">
        <v>374</v>
      </c>
      <c r="J110" s="7" t="s">
        <v>375</v>
      </c>
      <c r="K110" s="7" t="s">
        <v>376</v>
      </c>
      <c r="L110" s="7" t="s">
        <v>377</v>
      </c>
    </row>
    <row r="111" spans="1:12" ht="14.4" x14ac:dyDescent="0.3">
      <c r="A111" s="1" t="s">
        <v>282</v>
      </c>
      <c r="B111" s="1" t="s">
        <v>106</v>
      </c>
      <c r="C111" s="1">
        <v>2</v>
      </c>
      <c r="D111" s="7" t="s">
        <v>370</v>
      </c>
      <c r="E111" s="7" t="s">
        <v>371</v>
      </c>
      <c r="F111" s="7">
        <v>30.9918120639948</v>
      </c>
      <c r="G111" s="7" t="s">
        <v>372</v>
      </c>
      <c r="H111" s="7">
        <v>138.79105870628899</v>
      </c>
      <c r="I111" s="7" t="s">
        <v>374</v>
      </c>
      <c r="J111" s="7" t="s">
        <v>375</v>
      </c>
      <c r="K111" s="7" t="s">
        <v>376</v>
      </c>
      <c r="L111" s="7" t="s">
        <v>377</v>
      </c>
    </row>
    <row r="112" spans="1:12" ht="14.4" x14ac:dyDescent="0.3">
      <c r="A112" s="1" t="s">
        <v>283</v>
      </c>
      <c r="B112" s="1" t="s">
        <v>107</v>
      </c>
      <c r="C112" s="1">
        <v>2</v>
      </c>
      <c r="D112" s="7" t="s">
        <v>370</v>
      </c>
      <c r="E112" s="7" t="s">
        <v>371</v>
      </c>
      <c r="F112" s="7">
        <v>12.4559817760719</v>
      </c>
      <c r="G112" s="7" t="s">
        <v>372</v>
      </c>
      <c r="H112" s="7">
        <v>60.0130751692665</v>
      </c>
      <c r="I112" s="7" t="s">
        <v>374</v>
      </c>
      <c r="J112" s="7" t="s">
        <v>375</v>
      </c>
      <c r="K112" s="7" t="s">
        <v>376</v>
      </c>
      <c r="L112" s="7" t="s">
        <v>377</v>
      </c>
    </row>
    <row r="113" spans="1:12" ht="14.4" x14ac:dyDescent="0.3">
      <c r="A113" s="1" t="s">
        <v>284</v>
      </c>
      <c r="B113" s="1" t="s">
        <v>16</v>
      </c>
      <c r="C113" s="1">
        <v>2</v>
      </c>
      <c r="D113" s="7" t="s">
        <v>370</v>
      </c>
      <c r="E113" s="7" t="s">
        <v>371</v>
      </c>
      <c r="F113" s="7">
        <v>37.413250583266702</v>
      </c>
      <c r="G113" s="7" t="s">
        <v>372</v>
      </c>
      <c r="H113" s="7">
        <v>5.52538383780802</v>
      </c>
      <c r="I113" s="7" t="s">
        <v>374</v>
      </c>
      <c r="J113" s="7" t="s">
        <v>375</v>
      </c>
      <c r="K113" s="7" t="s">
        <v>376</v>
      </c>
      <c r="L113" s="7" t="s">
        <v>377</v>
      </c>
    </row>
    <row r="114" spans="1:12" ht="14.4" x14ac:dyDescent="0.3">
      <c r="A114" s="1" t="s">
        <v>285</v>
      </c>
      <c r="B114" s="1" t="s">
        <v>111</v>
      </c>
      <c r="C114" s="1">
        <v>2</v>
      </c>
      <c r="D114" s="7" t="s">
        <v>370</v>
      </c>
      <c r="E114" s="7" t="s">
        <v>371</v>
      </c>
      <c r="F114" s="7">
        <v>83.611218783990594</v>
      </c>
      <c r="G114" s="7" t="s">
        <v>372</v>
      </c>
      <c r="H114" s="7">
        <v>8.3485834547446292</v>
      </c>
      <c r="I114" s="7" t="s">
        <v>374</v>
      </c>
      <c r="J114" s="7" t="s">
        <v>375</v>
      </c>
      <c r="K114" s="7" t="s">
        <v>376</v>
      </c>
      <c r="L114" s="7">
        <v>12.941195176409</v>
      </c>
    </row>
    <row r="115" spans="1:12" ht="14.4" x14ac:dyDescent="0.3">
      <c r="A115" s="1" t="s">
        <v>286</v>
      </c>
      <c r="B115" s="1" t="s">
        <v>98</v>
      </c>
      <c r="C115" s="1">
        <v>2</v>
      </c>
      <c r="D115" s="7" t="s">
        <v>370</v>
      </c>
      <c r="E115" s="7" t="s">
        <v>371</v>
      </c>
      <c r="F115" s="7">
        <v>69.177188459604693</v>
      </c>
      <c r="G115" s="7" t="s">
        <v>372</v>
      </c>
      <c r="H115" s="7">
        <v>33.713154932055502</v>
      </c>
      <c r="I115" s="7" t="s">
        <v>374</v>
      </c>
      <c r="J115" s="7" t="s">
        <v>375</v>
      </c>
      <c r="K115" s="7" t="s">
        <v>376</v>
      </c>
      <c r="L115" s="7" t="s">
        <v>377</v>
      </c>
    </row>
    <row r="116" spans="1:12" ht="14.4" x14ac:dyDescent="0.3">
      <c r="A116" s="1" t="s">
        <v>287</v>
      </c>
      <c r="B116" s="1" t="s">
        <v>128</v>
      </c>
      <c r="C116" s="1">
        <v>2</v>
      </c>
      <c r="D116" s="7" t="s">
        <v>370</v>
      </c>
      <c r="E116" s="7" t="s">
        <v>371</v>
      </c>
      <c r="F116" s="7">
        <v>89.626923837527798</v>
      </c>
      <c r="G116" s="7" t="s">
        <v>372</v>
      </c>
      <c r="H116" s="7">
        <v>44.009897544336901</v>
      </c>
      <c r="I116" s="7" t="s">
        <v>374</v>
      </c>
      <c r="J116" s="7" t="s">
        <v>375</v>
      </c>
      <c r="K116" s="7">
        <v>310.04316933396098</v>
      </c>
      <c r="L116" s="7" t="s">
        <v>377</v>
      </c>
    </row>
    <row r="117" spans="1:12" ht="14.4" x14ac:dyDescent="0.3">
      <c r="A117" s="1" t="s">
        <v>288</v>
      </c>
      <c r="B117" s="1" t="s">
        <v>64</v>
      </c>
      <c r="C117" s="1">
        <v>2</v>
      </c>
      <c r="D117" s="7" t="s">
        <v>370</v>
      </c>
      <c r="E117" s="7" t="s">
        <v>371</v>
      </c>
      <c r="F117" s="7">
        <v>33.651676521100299</v>
      </c>
      <c r="G117" s="7" t="s">
        <v>372</v>
      </c>
      <c r="H117" s="7">
        <v>19.7193364447599</v>
      </c>
      <c r="I117" s="7" t="s">
        <v>374</v>
      </c>
      <c r="J117" s="7" t="s">
        <v>375</v>
      </c>
      <c r="K117" s="7" t="s">
        <v>376</v>
      </c>
      <c r="L117" s="7" t="s">
        <v>377</v>
      </c>
    </row>
    <row r="118" spans="1:12" ht="14.4" x14ac:dyDescent="0.3">
      <c r="A118" s="1" t="s">
        <v>289</v>
      </c>
      <c r="B118" s="1" t="s">
        <v>123</v>
      </c>
      <c r="C118" s="1">
        <v>2</v>
      </c>
      <c r="D118" s="7" t="s">
        <v>370</v>
      </c>
      <c r="E118" s="7" t="s">
        <v>371</v>
      </c>
      <c r="F118" s="7">
        <v>146.614647481628</v>
      </c>
      <c r="G118" s="7" t="s">
        <v>372</v>
      </c>
      <c r="H118" s="7">
        <v>4.7601608678587297</v>
      </c>
      <c r="I118" s="7" t="s">
        <v>374</v>
      </c>
      <c r="J118" s="7" t="s">
        <v>375</v>
      </c>
      <c r="K118" s="7" t="s">
        <v>376</v>
      </c>
      <c r="L118" s="7" t="s">
        <v>377</v>
      </c>
    </row>
    <row r="119" spans="1:12" ht="14.4" x14ac:dyDescent="0.3">
      <c r="A119" s="1" t="s">
        <v>290</v>
      </c>
      <c r="B119" s="1" t="s">
        <v>35</v>
      </c>
      <c r="C119" s="1">
        <v>2</v>
      </c>
      <c r="D119" s="7" t="s">
        <v>370</v>
      </c>
      <c r="E119" s="7" t="s">
        <v>371</v>
      </c>
      <c r="F119" s="7">
        <v>96.891929935993204</v>
      </c>
      <c r="G119" s="7" t="s">
        <v>372</v>
      </c>
      <c r="H119" s="7">
        <v>11.7527301101393</v>
      </c>
      <c r="I119" s="7" t="s">
        <v>374</v>
      </c>
      <c r="J119" s="7" t="s">
        <v>375</v>
      </c>
      <c r="K119" s="7" t="s">
        <v>376</v>
      </c>
      <c r="L119" s="7">
        <v>11.663390682313899</v>
      </c>
    </row>
    <row r="120" spans="1:12" ht="14.4" x14ac:dyDescent="0.3">
      <c r="A120" s="1" t="s">
        <v>291</v>
      </c>
      <c r="B120" s="1" t="s">
        <v>51</v>
      </c>
      <c r="C120" s="1">
        <v>2</v>
      </c>
      <c r="D120" s="7" t="s">
        <v>370</v>
      </c>
      <c r="E120" s="7" t="s">
        <v>371</v>
      </c>
      <c r="F120" s="7">
        <v>38.924815871316198</v>
      </c>
      <c r="G120" s="7" t="s">
        <v>372</v>
      </c>
      <c r="H120" s="7">
        <v>13.023597308736401</v>
      </c>
      <c r="I120" s="7" t="s">
        <v>374</v>
      </c>
      <c r="J120" s="7" t="s">
        <v>375</v>
      </c>
      <c r="K120" s="7" t="s">
        <v>376</v>
      </c>
      <c r="L120" s="7">
        <v>10.281347784224</v>
      </c>
    </row>
    <row r="121" spans="1:12" ht="14.4" x14ac:dyDescent="0.3">
      <c r="A121" s="1" t="s">
        <v>292</v>
      </c>
      <c r="B121" s="1" t="s">
        <v>83</v>
      </c>
      <c r="C121" s="1">
        <v>2</v>
      </c>
      <c r="D121" s="7">
        <v>76.347663293259799</v>
      </c>
      <c r="E121" s="7" t="s">
        <v>371</v>
      </c>
      <c r="F121" s="7">
        <v>54.525735639468898</v>
      </c>
      <c r="G121" s="7" t="s">
        <v>372</v>
      </c>
      <c r="H121" s="7">
        <v>692.86222920326702</v>
      </c>
      <c r="I121" s="7" t="s">
        <v>374</v>
      </c>
      <c r="J121" s="7" t="s">
        <v>375</v>
      </c>
      <c r="K121" s="7" t="s">
        <v>376</v>
      </c>
      <c r="L121" s="7" t="s">
        <v>377</v>
      </c>
    </row>
    <row r="122" spans="1:12" ht="14.4" x14ac:dyDescent="0.3">
      <c r="A122" s="1" t="s">
        <v>293</v>
      </c>
      <c r="B122" s="1" t="s">
        <v>60</v>
      </c>
      <c r="C122" s="1">
        <v>2</v>
      </c>
      <c r="D122" s="7" t="s">
        <v>370</v>
      </c>
      <c r="E122" s="7" t="s">
        <v>371</v>
      </c>
      <c r="F122" s="7">
        <v>67.330658015084396</v>
      </c>
      <c r="G122" s="7" t="s">
        <v>372</v>
      </c>
      <c r="H122" s="7" t="s">
        <v>373</v>
      </c>
      <c r="I122" s="7" t="s">
        <v>374</v>
      </c>
      <c r="J122" s="7" t="s">
        <v>375</v>
      </c>
      <c r="K122" s="7" t="s">
        <v>376</v>
      </c>
      <c r="L122" s="7" t="s">
        <v>377</v>
      </c>
    </row>
    <row r="123" spans="1:12" ht="14.4" x14ac:dyDescent="0.3">
      <c r="A123" s="1" t="s">
        <v>294</v>
      </c>
      <c r="B123" s="1" t="s">
        <v>37</v>
      </c>
      <c r="C123" s="1">
        <v>2</v>
      </c>
      <c r="D123" s="7" t="s">
        <v>370</v>
      </c>
      <c r="E123" s="7" t="s">
        <v>371</v>
      </c>
      <c r="F123" s="7">
        <v>58.1007393453283</v>
      </c>
      <c r="G123" s="7" t="s">
        <v>372</v>
      </c>
      <c r="H123" s="7">
        <v>9.9362663291193307</v>
      </c>
      <c r="I123" s="7" t="s">
        <v>374</v>
      </c>
      <c r="J123" s="7" t="s">
        <v>375</v>
      </c>
      <c r="K123" s="7" t="s">
        <v>376</v>
      </c>
      <c r="L123" s="7" t="s">
        <v>377</v>
      </c>
    </row>
    <row r="124" spans="1:12" ht="14.4" x14ac:dyDescent="0.3">
      <c r="A124" s="1" t="s">
        <v>295</v>
      </c>
      <c r="B124" s="1" t="s">
        <v>67</v>
      </c>
      <c r="C124" s="1">
        <v>2</v>
      </c>
      <c r="D124" s="7" t="s">
        <v>370</v>
      </c>
      <c r="E124" s="7" t="s">
        <v>371</v>
      </c>
      <c r="F124" s="7">
        <v>37.368890870813402</v>
      </c>
      <c r="G124" s="7" t="s">
        <v>372</v>
      </c>
      <c r="H124" s="7">
        <v>4.6925045684948801</v>
      </c>
      <c r="I124" s="7" t="s">
        <v>374</v>
      </c>
      <c r="J124" s="7" t="s">
        <v>375</v>
      </c>
      <c r="K124" s="7" t="s">
        <v>376</v>
      </c>
      <c r="L124" s="7" t="s">
        <v>377</v>
      </c>
    </row>
    <row r="125" spans="1:12" ht="14.4" x14ac:dyDescent="0.3">
      <c r="A125" s="1" t="s">
        <v>296</v>
      </c>
      <c r="B125" s="1" t="s">
        <v>27</v>
      </c>
      <c r="C125" s="1">
        <v>2</v>
      </c>
      <c r="D125" s="7" t="s">
        <v>370</v>
      </c>
      <c r="E125" s="7" t="s">
        <v>371</v>
      </c>
      <c r="F125" s="7">
        <v>38.206253819351097</v>
      </c>
      <c r="G125" s="7" t="s">
        <v>372</v>
      </c>
      <c r="H125" s="7">
        <v>38.937657613374597</v>
      </c>
      <c r="I125" s="7" t="s">
        <v>374</v>
      </c>
      <c r="J125" s="7" t="s">
        <v>375</v>
      </c>
      <c r="K125" s="7" t="s">
        <v>376</v>
      </c>
      <c r="L125" s="7">
        <v>5.4165914292654103</v>
      </c>
    </row>
    <row r="126" spans="1:12" ht="14.4" x14ac:dyDescent="0.3">
      <c r="A126" s="1" t="s">
        <v>297</v>
      </c>
      <c r="B126" s="1" t="s">
        <v>63</v>
      </c>
      <c r="C126" s="1">
        <v>2</v>
      </c>
      <c r="D126" s="7" t="s">
        <v>370</v>
      </c>
      <c r="E126" s="7" t="s">
        <v>371</v>
      </c>
      <c r="F126" s="7">
        <v>88.264324605451804</v>
      </c>
      <c r="G126" s="7" t="s">
        <v>372</v>
      </c>
      <c r="H126" s="7" t="s">
        <v>373</v>
      </c>
      <c r="I126" s="7" t="s">
        <v>374</v>
      </c>
      <c r="J126" s="7" t="s">
        <v>375</v>
      </c>
      <c r="K126" s="7" t="s">
        <v>376</v>
      </c>
      <c r="L126" s="7">
        <v>9.3062246395059596</v>
      </c>
    </row>
    <row r="127" spans="1:12" ht="14.4" x14ac:dyDescent="0.3">
      <c r="A127" s="1" t="s">
        <v>298</v>
      </c>
      <c r="B127" s="1" t="s">
        <v>137</v>
      </c>
      <c r="C127" s="1">
        <v>2</v>
      </c>
      <c r="D127" s="7" t="s">
        <v>370</v>
      </c>
      <c r="E127" s="7" t="s">
        <v>371</v>
      </c>
      <c r="F127" s="7">
        <v>57.686669834150997</v>
      </c>
      <c r="G127" s="7" t="s">
        <v>372</v>
      </c>
      <c r="H127" s="7">
        <v>7.1401405155566904</v>
      </c>
      <c r="I127" s="7" t="s">
        <v>374</v>
      </c>
      <c r="J127" s="7" t="s">
        <v>375</v>
      </c>
      <c r="K127" s="7" t="s">
        <v>376</v>
      </c>
      <c r="L127" s="7" t="s">
        <v>377</v>
      </c>
    </row>
    <row r="128" spans="1:12" ht="14.4" x14ac:dyDescent="0.3">
      <c r="A128" s="1" t="s">
        <v>299</v>
      </c>
      <c r="B128" s="1" t="s">
        <v>139</v>
      </c>
      <c r="C128" s="1">
        <v>2</v>
      </c>
      <c r="D128" s="7">
        <v>13.442929664262399</v>
      </c>
      <c r="E128" s="7" t="s">
        <v>371</v>
      </c>
      <c r="F128" s="7">
        <v>610.28139364398601</v>
      </c>
      <c r="G128" s="7" t="s">
        <v>372</v>
      </c>
      <c r="H128" s="7">
        <v>21.645148808451999</v>
      </c>
      <c r="I128" s="7" t="s">
        <v>374</v>
      </c>
      <c r="J128" s="7" t="s">
        <v>375</v>
      </c>
      <c r="K128" s="7" t="s">
        <v>376</v>
      </c>
      <c r="L128" s="7">
        <v>152.541678548493</v>
      </c>
    </row>
    <row r="129" spans="1:12" ht="14.4" x14ac:dyDescent="0.3">
      <c r="A129" s="1" t="s">
        <v>300</v>
      </c>
      <c r="B129" s="1" t="s">
        <v>144</v>
      </c>
      <c r="C129" s="1">
        <v>2</v>
      </c>
      <c r="D129" s="7" t="s">
        <v>370</v>
      </c>
      <c r="E129" s="7" t="s">
        <v>371</v>
      </c>
      <c r="F129" s="7">
        <v>32.264754514240501</v>
      </c>
      <c r="G129" s="7" t="s">
        <v>372</v>
      </c>
      <c r="H129" s="7">
        <v>54.067990621991797</v>
      </c>
      <c r="I129" s="7" t="s">
        <v>374</v>
      </c>
      <c r="J129" s="7" t="s">
        <v>375</v>
      </c>
      <c r="K129" s="7">
        <v>59.383242806096597</v>
      </c>
      <c r="L129" s="7">
        <v>8.2023086752754892</v>
      </c>
    </row>
    <row r="130" spans="1:12" ht="14.4" x14ac:dyDescent="0.3">
      <c r="A130" s="1" t="s">
        <v>301</v>
      </c>
      <c r="B130" s="1" t="s">
        <v>142</v>
      </c>
      <c r="C130" s="1">
        <v>2</v>
      </c>
      <c r="D130" s="7" t="s">
        <v>370</v>
      </c>
      <c r="E130" s="7" t="s">
        <v>371</v>
      </c>
      <c r="F130" s="7">
        <v>5.3709335959334599</v>
      </c>
      <c r="G130" s="7" t="s">
        <v>372</v>
      </c>
      <c r="H130" s="7" t="s">
        <v>373</v>
      </c>
      <c r="I130" s="7" t="s">
        <v>374</v>
      </c>
      <c r="J130" s="7" t="s">
        <v>375</v>
      </c>
      <c r="K130" s="7" t="s">
        <v>376</v>
      </c>
      <c r="L130" s="7" t="s">
        <v>377</v>
      </c>
    </row>
    <row r="131" spans="1:12" ht="14.4" x14ac:dyDescent="0.3">
      <c r="A131" s="1" t="s">
        <v>302</v>
      </c>
      <c r="B131" s="1" t="s">
        <v>134</v>
      </c>
      <c r="C131" s="1">
        <v>2</v>
      </c>
      <c r="D131" s="7" t="s">
        <v>370</v>
      </c>
      <c r="E131" s="7" t="s">
        <v>371</v>
      </c>
      <c r="F131" s="7">
        <v>51.673501346641402</v>
      </c>
      <c r="G131" s="7" t="s">
        <v>372</v>
      </c>
      <c r="H131" s="7">
        <v>11.172616637731201</v>
      </c>
      <c r="I131" s="7" t="s">
        <v>374</v>
      </c>
      <c r="J131" s="7" t="s">
        <v>375</v>
      </c>
      <c r="K131" s="7" t="s">
        <v>376</v>
      </c>
      <c r="L131" s="7" t="s">
        <v>377</v>
      </c>
    </row>
    <row r="132" spans="1:12" ht="14.4" x14ac:dyDescent="0.3">
      <c r="A132" s="1" t="s">
        <v>303</v>
      </c>
      <c r="B132" s="1" t="s">
        <v>143</v>
      </c>
      <c r="C132" s="1">
        <v>2</v>
      </c>
      <c r="D132" s="7" t="s">
        <v>370</v>
      </c>
      <c r="E132" s="7" t="s">
        <v>371</v>
      </c>
      <c r="F132" s="7">
        <v>38.509328603646601</v>
      </c>
      <c r="G132" s="7" t="s">
        <v>372</v>
      </c>
      <c r="H132" s="7">
        <v>3.8299645787663001</v>
      </c>
      <c r="I132" s="7" t="s">
        <v>374</v>
      </c>
      <c r="J132" s="7" t="s">
        <v>375</v>
      </c>
      <c r="K132" s="7" t="s">
        <v>376</v>
      </c>
      <c r="L132" s="7" t="s">
        <v>377</v>
      </c>
    </row>
    <row r="133" spans="1:12" ht="14.4" x14ac:dyDescent="0.3">
      <c r="A133" s="1" t="s">
        <v>304</v>
      </c>
      <c r="B133" s="1" t="s">
        <v>135</v>
      </c>
      <c r="C133" s="1">
        <v>2</v>
      </c>
      <c r="D133" s="7" t="s">
        <v>370</v>
      </c>
      <c r="E133" s="7" t="s">
        <v>371</v>
      </c>
      <c r="F133" s="7">
        <v>92.822468332737998</v>
      </c>
      <c r="G133" s="7" t="s">
        <v>372</v>
      </c>
      <c r="H133" s="7">
        <v>5.6416123368857498</v>
      </c>
      <c r="I133" s="7" t="s">
        <v>374</v>
      </c>
      <c r="J133" s="7" t="s">
        <v>375</v>
      </c>
      <c r="K133" s="7" t="s">
        <v>376</v>
      </c>
      <c r="L133" s="7">
        <v>23.671678329533801</v>
      </c>
    </row>
    <row r="134" spans="1:12" ht="14.4" x14ac:dyDescent="0.3">
      <c r="A134" s="1" t="s">
        <v>305</v>
      </c>
      <c r="B134" s="1" t="s">
        <v>138</v>
      </c>
      <c r="C134" s="1">
        <v>2</v>
      </c>
      <c r="D134" s="7" t="s">
        <v>370</v>
      </c>
      <c r="E134" s="7" t="s">
        <v>371</v>
      </c>
      <c r="F134" s="7">
        <v>82.258756856028796</v>
      </c>
      <c r="G134" s="7" t="s">
        <v>372</v>
      </c>
      <c r="H134" s="7" t="s">
        <v>373</v>
      </c>
      <c r="I134" s="7" t="s">
        <v>374</v>
      </c>
      <c r="J134" s="7" t="s">
        <v>375</v>
      </c>
      <c r="K134" s="7" t="s">
        <v>376</v>
      </c>
      <c r="L134" s="7" t="s">
        <v>377</v>
      </c>
    </row>
    <row r="135" spans="1:12" ht="14.4" x14ac:dyDescent="0.3">
      <c r="A135" s="1" t="s">
        <v>306</v>
      </c>
      <c r="B135" s="1" t="s">
        <v>132</v>
      </c>
      <c r="C135" s="1">
        <v>2</v>
      </c>
      <c r="D135" s="7" t="s">
        <v>370</v>
      </c>
      <c r="E135" s="7" t="s">
        <v>371</v>
      </c>
      <c r="F135" s="7">
        <v>25.602727015729101</v>
      </c>
      <c r="G135" s="7" t="s">
        <v>372</v>
      </c>
      <c r="H135" s="7">
        <v>96.732134543309598</v>
      </c>
      <c r="I135" s="7">
        <v>162.28845640541999</v>
      </c>
      <c r="J135" s="7" t="s">
        <v>375</v>
      </c>
      <c r="K135" s="7" t="s">
        <v>376</v>
      </c>
      <c r="L135" s="7" t="s">
        <v>377</v>
      </c>
    </row>
    <row r="136" spans="1:12" ht="14.4" x14ac:dyDescent="0.3">
      <c r="A136" s="1" t="s">
        <v>307</v>
      </c>
      <c r="B136" s="1" t="s">
        <v>141</v>
      </c>
      <c r="C136" s="1">
        <v>2</v>
      </c>
      <c r="D136" s="7" t="s">
        <v>370</v>
      </c>
      <c r="E136" s="7" t="s">
        <v>371</v>
      </c>
      <c r="F136" s="7">
        <v>15.9254487349878</v>
      </c>
      <c r="G136" s="7" t="s">
        <v>372</v>
      </c>
      <c r="H136" s="7" t="s">
        <v>373</v>
      </c>
      <c r="I136" s="7" t="s">
        <v>374</v>
      </c>
      <c r="J136" s="7" t="s">
        <v>375</v>
      </c>
      <c r="K136" s="7" t="s">
        <v>376</v>
      </c>
      <c r="L136" s="7" t="s">
        <v>377</v>
      </c>
    </row>
    <row r="137" spans="1:12" ht="14.4" x14ac:dyDescent="0.3">
      <c r="A137" s="1" t="s">
        <v>308</v>
      </c>
      <c r="B137" s="1" t="s">
        <v>133</v>
      </c>
      <c r="C137" s="1">
        <v>2</v>
      </c>
      <c r="D137" s="7" t="s">
        <v>370</v>
      </c>
      <c r="E137" s="7" t="s">
        <v>371</v>
      </c>
      <c r="F137" s="7">
        <v>26.662351902606101</v>
      </c>
      <c r="G137" s="7" t="s">
        <v>372</v>
      </c>
      <c r="H137" s="7" t="s">
        <v>373</v>
      </c>
      <c r="I137" s="7" t="s">
        <v>374</v>
      </c>
      <c r="J137" s="7" t="s">
        <v>375</v>
      </c>
      <c r="K137" s="7" t="s">
        <v>376</v>
      </c>
      <c r="L137" s="7" t="s">
        <v>377</v>
      </c>
    </row>
    <row r="138" spans="1:12" ht="14.4" x14ac:dyDescent="0.3">
      <c r="A138" s="1" t="s">
        <v>309</v>
      </c>
      <c r="B138" s="1" t="s">
        <v>136</v>
      </c>
      <c r="C138" s="1">
        <v>2</v>
      </c>
      <c r="D138" s="7" t="s">
        <v>370</v>
      </c>
      <c r="E138" s="7" t="s">
        <v>371</v>
      </c>
      <c r="F138" s="7">
        <v>37.764282718172801</v>
      </c>
      <c r="G138" s="7" t="s">
        <v>372</v>
      </c>
      <c r="H138" s="7">
        <v>15.268513840617899</v>
      </c>
      <c r="I138" s="7" t="s">
        <v>374</v>
      </c>
      <c r="J138" s="7" t="s">
        <v>375</v>
      </c>
      <c r="K138" s="7" t="s">
        <v>376</v>
      </c>
      <c r="L138" s="7" t="s">
        <v>377</v>
      </c>
    </row>
    <row r="139" spans="1:12" ht="14.4" x14ac:dyDescent="0.3">
      <c r="A139" s="1" t="s">
        <v>310</v>
      </c>
      <c r="B139" s="1" t="s">
        <v>145</v>
      </c>
      <c r="C139" s="1">
        <v>2</v>
      </c>
      <c r="D139" s="7" t="s">
        <v>370</v>
      </c>
      <c r="E139" s="7" t="s">
        <v>371</v>
      </c>
      <c r="F139" s="7">
        <v>215.35845053772201</v>
      </c>
      <c r="G139" s="7" t="s">
        <v>372</v>
      </c>
      <c r="H139" s="7" t="s">
        <v>373</v>
      </c>
      <c r="I139" s="7" t="s">
        <v>374</v>
      </c>
      <c r="J139" s="7" t="s">
        <v>375</v>
      </c>
      <c r="K139" s="7" t="s">
        <v>376</v>
      </c>
      <c r="L139" s="7">
        <v>10.8029914830646</v>
      </c>
    </row>
    <row r="140" spans="1:12" ht="14.4" x14ac:dyDescent="0.3">
      <c r="A140" s="1" t="s">
        <v>311</v>
      </c>
      <c r="B140" s="1" t="s">
        <v>140</v>
      </c>
      <c r="C140" s="1">
        <v>2</v>
      </c>
      <c r="D140" s="7" t="s">
        <v>370</v>
      </c>
      <c r="E140" s="7" t="s">
        <v>371</v>
      </c>
      <c r="F140" s="7">
        <v>58.871858681823703</v>
      </c>
      <c r="G140" s="7" t="s">
        <v>372</v>
      </c>
      <c r="H140" s="7">
        <v>365.11982861688699</v>
      </c>
      <c r="I140" s="7">
        <v>84.433501863228898</v>
      </c>
      <c r="J140" s="7" t="s">
        <v>375</v>
      </c>
      <c r="K140" s="7" t="s">
        <v>376</v>
      </c>
      <c r="L140" s="7" t="s">
        <v>377</v>
      </c>
    </row>
    <row r="141" spans="1:12" ht="14.4" x14ac:dyDescent="0.3">
      <c r="A141" s="1" t="s">
        <v>312</v>
      </c>
      <c r="B141" s="1" t="s">
        <v>154</v>
      </c>
      <c r="C141" s="1">
        <v>2</v>
      </c>
      <c r="D141" s="7" t="s">
        <v>370</v>
      </c>
      <c r="E141" s="7" t="s">
        <v>371</v>
      </c>
      <c r="F141" s="7">
        <v>54.890494844258299</v>
      </c>
      <c r="G141" s="7" t="s">
        <v>372</v>
      </c>
      <c r="H141" s="7">
        <v>370.42576813752601</v>
      </c>
      <c r="I141" s="7">
        <v>59.007145163611099</v>
      </c>
      <c r="J141" s="7" t="s">
        <v>375</v>
      </c>
      <c r="K141" s="7" t="s">
        <v>376</v>
      </c>
      <c r="L141" s="7">
        <v>7.0155367990474398</v>
      </c>
    </row>
    <row r="142" spans="1:12" ht="14.4" x14ac:dyDescent="0.3">
      <c r="A142" s="1" t="s">
        <v>313</v>
      </c>
      <c r="B142" s="1" t="s">
        <v>163</v>
      </c>
      <c r="C142" s="1">
        <v>2</v>
      </c>
      <c r="D142" s="7" t="s">
        <v>370</v>
      </c>
      <c r="E142" s="7" t="s">
        <v>371</v>
      </c>
      <c r="F142" s="7">
        <v>78.607123110619895</v>
      </c>
      <c r="G142" s="7" t="s">
        <v>372</v>
      </c>
      <c r="H142" s="7">
        <v>288.92986715509898</v>
      </c>
      <c r="I142" s="7">
        <v>54.050320849528802</v>
      </c>
      <c r="J142" s="7" t="s">
        <v>375</v>
      </c>
      <c r="K142" s="7" t="s">
        <v>376</v>
      </c>
      <c r="L142" s="7" t="s">
        <v>377</v>
      </c>
    </row>
    <row r="143" spans="1:12" ht="14.4" x14ac:dyDescent="0.3">
      <c r="A143" s="1" t="s">
        <v>314</v>
      </c>
      <c r="B143" s="1" t="s">
        <v>147</v>
      </c>
      <c r="C143" s="1">
        <v>2</v>
      </c>
      <c r="D143" s="7" t="s">
        <v>370</v>
      </c>
      <c r="E143" s="7" t="s">
        <v>371</v>
      </c>
      <c r="F143" s="7">
        <v>31.0758708066518</v>
      </c>
      <c r="G143" s="7" t="s">
        <v>372</v>
      </c>
      <c r="H143" s="7" t="s">
        <v>373</v>
      </c>
      <c r="I143" s="7" t="s">
        <v>374</v>
      </c>
      <c r="J143" s="7" t="s">
        <v>375</v>
      </c>
      <c r="K143" s="7" t="s">
        <v>376</v>
      </c>
      <c r="L143" s="7" t="s">
        <v>377</v>
      </c>
    </row>
    <row r="144" spans="1:12" ht="14.4" x14ac:dyDescent="0.3">
      <c r="A144" s="1" t="s">
        <v>315</v>
      </c>
      <c r="B144" s="1" t="s">
        <v>5</v>
      </c>
      <c r="C144" s="1">
        <v>2</v>
      </c>
      <c r="D144" s="7" t="s">
        <v>370</v>
      </c>
      <c r="E144" s="7" t="s">
        <v>371</v>
      </c>
      <c r="F144" s="7">
        <v>8.6100514315715397</v>
      </c>
      <c r="G144" s="7" t="s">
        <v>372</v>
      </c>
      <c r="H144" s="7">
        <v>32.299505660658099</v>
      </c>
      <c r="I144" s="7">
        <v>177.79125708197401</v>
      </c>
      <c r="J144" s="7" t="s">
        <v>375</v>
      </c>
      <c r="K144" s="7">
        <v>195.77401340271101</v>
      </c>
      <c r="L144" s="7" t="s">
        <v>377</v>
      </c>
    </row>
    <row r="145" spans="1:12" ht="14.4" x14ac:dyDescent="0.3">
      <c r="A145" s="1" t="s">
        <v>316</v>
      </c>
      <c r="B145" s="1" t="s">
        <v>153</v>
      </c>
      <c r="C145" s="1">
        <v>2</v>
      </c>
      <c r="D145" s="7" t="s">
        <v>370</v>
      </c>
      <c r="E145" s="7" t="s">
        <v>371</v>
      </c>
      <c r="F145" s="7">
        <v>8.6013640675557106</v>
      </c>
      <c r="G145" s="7" t="s">
        <v>372</v>
      </c>
      <c r="H145" s="7">
        <v>28.689375641336099</v>
      </c>
      <c r="I145" s="7">
        <v>334.964179124439</v>
      </c>
      <c r="J145" s="7" t="s">
        <v>375</v>
      </c>
      <c r="K145" s="7">
        <v>452.77274027906401</v>
      </c>
      <c r="L145" s="7" t="s">
        <v>377</v>
      </c>
    </row>
    <row r="146" spans="1:12" ht="14.4" x14ac:dyDescent="0.3">
      <c r="A146" s="1" t="s">
        <v>317</v>
      </c>
      <c r="B146" s="1" t="s">
        <v>162</v>
      </c>
      <c r="C146" s="1">
        <v>2</v>
      </c>
      <c r="D146" s="7" t="s">
        <v>370</v>
      </c>
      <c r="E146" s="7" t="s">
        <v>371</v>
      </c>
      <c r="F146" s="7">
        <v>9.5099821473943198</v>
      </c>
      <c r="G146" s="7" t="s">
        <v>372</v>
      </c>
      <c r="H146" s="7">
        <v>29.339326889818398</v>
      </c>
      <c r="I146" s="7">
        <v>378.45695762481103</v>
      </c>
      <c r="J146" s="7" t="s">
        <v>375</v>
      </c>
      <c r="K146" s="7">
        <v>513.46416887963096</v>
      </c>
      <c r="L146" s="7" t="s">
        <v>377</v>
      </c>
    </row>
    <row r="147" spans="1:12" ht="14.4" x14ac:dyDescent="0.3">
      <c r="A147" s="1" t="s">
        <v>318</v>
      </c>
      <c r="B147" s="1" t="s">
        <v>168</v>
      </c>
      <c r="C147" s="1">
        <v>2</v>
      </c>
      <c r="D147" s="7" t="s">
        <v>370</v>
      </c>
      <c r="E147" s="7" t="s">
        <v>371</v>
      </c>
      <c r="F147" s="7">
        <v>65.622913459617806</v>
      </c>
      <c r="G147" s="7" t="s">
        <v>372</v>
      </c>
      <c r="H147" s="7" t="s">
        <v>373</v>
      </c>
      <c r="I147" s="7" t="s">
        <v>374</v>
      </c>
      <c r="J147" s="7" t="s">
        <v>375</v>
      </c>
      <c r="K147" s="7" t="s">
        <v>376</v>
      </c>
      <c r="L147" s="7" t="s">
        <v>377</v>
      </c>
    </row>
    <row r="148" spans="1:12" ht="14.4" x14ac:dyDescent="0.3">
      <c r="A148" s="1" t="s">
        <v>319</v>
      </c>
      <c r="B148" s="1" t="s">
        <v>4</v>
      </c>
      <c r="C148" s="1">
        <v>2</v>
      </c>
      <c r="D148" s="7" t="s">
        <v>370</v>
      </c>
      <c r="E148" s="7" t="s">
        <v>371</v>
      </c>
      <c r="F148" s="7">
        <v>26.5184440137031</v>
      </c>
      <c r="G148" s="7" t="s">
        <v>372</v>
      </c>
      <c r="H148" s="7">
        <v>6.2901780215274501</v>
      </c>
      <c r="I148" s="7" t="s">
        <v>374</v>
      </c>
      <c r="J148" s="7" t="s">
        <v>375</v>
      </c>
      <c r="K148" s="7" t="s">
        <v>376</v>
      </c>
      <c r="L148" s="7" t="s">
        <v>377</v>
      </c>
    </row>
    <row r="149" spans="1:12" ht="14.4" x14ac:dyDescent="0.3">
      <c r="A149" s="1" t="s">
        <v>320</v>
      </c>
      <c r="B149" s="1" t="s">
        <v>155</v>
      </c>
      <c r="C149" s="1">
        <v>2</v>
      </c>
      <c r="D149" s="7" t="s">
        <v>370</v>
      </c>
      <c r="E149" s="7" t="s">
        <v>371</v>
      </c>
      <c r="F149" s="7">
        <v>8.4086111706746394</v>
      </c>
      <c r="G149" s="7" t="s">
        <v>372</v>
      </c>
      <c r="H149" s="7">
        <v>10.387861039996499</v>
      </c>
      <c r="I149" s="7">
        <v>31.305247223392399</v>
      </c>
      <c r="J149" s="7" t="s">
        <v>375</v>
      </c>
      <c r="K149" s="7" t="s">
        <v>376</v>
      </c>
      <c r="L149" s="7" t="s">
        <v>377</v>
      </c>
    </row>
    <row r="150" spans="1:12" ht="14.4" x14ac:dyDescent="0.3">
      <c r="A150" s="1" t="s">
        <v>321</v>
      </c>
      <c r="B150" s="1" t="s">
        <v>164</v>
      </c>
      <c r="C150" s="1">
        <v>2</v>
      </c>
      <c r="D150" s="7" t="s">
        <v>370</v>
      </c>
      <c r="E150" s="7" t="s">
        <v>371</v>
      </c>
      <c r="F150" s="7">
        <v>30.512398799216399</v>
      </c>
      <c r="G150" s="7" t="s">
        <v>372</v>
      </c>
      <c r="H150" s="7">
        <v>6.3629468942315199</v>
      </c>
      <c r="I150" s="7">
        <v>34.683774789436001</v>
      </c>
      <c r="J150" s="7" t="s">
        <v>375</v>
      </c>
      <c r="K150" s="7" t="s">
        <v>376</v>
      </c>
      <c r="L150" s="7" t="s">
        <v>377</v>
      </c>
    </row>
    <row r="151" spans="1:12" ht="14.4" x14ac:dyDescent="0.3">
      <c r="A151" s="1" t="s">
        <v>322</v>
      </c>
      <c r="B151" s="1" t="s">
        <v>148</v>
      </c>
      <c r="C151" s="1">
        <v>2</v>
      </c>
      <c r="D151" s="7" t="s">
        <v>370</v>
      </c>
      <c r="E151" s="7" t="s">
        <v>371</v>
      </c>
      <c r="F151" s="7">
        <v>48.387270729631702</v>
      </c>
      <c r="G151" s="7" t="s">
        <v>372</v>
      </c>
      <c r="H151" s="7">
        <v>10.5980028875471</v>
      </c>
      <c r="I151" s="7" t="s">
        <v>374</v>
      </c>
      <c r="J151" s="7" t="s">
        <v>375</v>
      </c>
      <c r="K151" s="7" t="s">
        <v>376</v>
      </c>
      <c r="L151" s="7" t="s">
        <v>377</v>
      </c>
    </row>
    <row r="152" spans="1:12" ht="14.4" x14ac:dyDescent="0.3">
      <c r="A152" s="1" t="s">
        <v>323</v>
      </c>
      <c r="B152" s="1" t="s">
        <v>169</v>
      </c>
      <c r="C152" s="1">
        <v>2</v>
      </c>
      <c r="D152" s="7" t="s">
        <v>370</v>
      </c>
      <c r="E152" s="7" t="s">
        <v>371</v>
      </c>
      <c r="F152" s="7">
        <v>25.9118650181886</v>
      </c>
      <c r="G152" s="7" t="s">
        <v>372</v>
      </c>
      <c r="H152" s="7">
        <v>3.87878444087149</v>
      </c>
      <c r="I152" s="7" t="s">
        <v>374</v>
      </c>
      <c r="J152" s="7" t="s">
        <v>375</v>
      </c>
      <c r="K152" s="7" t="s">
        <v>376</v>
      </c>
      <c r="L152" s="7" t="s">
        <v>377</v>
      </c>
    </row>
    <row r="153" spans="1:12" ht="14.4" x14ac:dyDescent="0.3">
      <c r="A153" s="1" t="s">
        <v>324</v>
      </c>
      <c r="B153" s="1" t="s">
        <v>7</v>
      </c>
      <c r="C153" s="1">
        <v>2</v>
      </c>
      <c r="D153" s="7" t="s">
        <v>370</v>
      </c>
      <c r="E153" s="7" t="s">
        <v>371</v>
      </c>
      <c r="F153" s="7">
        <v>66.207704376916396</v>
      </c>
      <c r="G153" s="7" t="s">
        <v>372</v>
      </c>
      <c r="H153" s="7">
        <v>5.6816175902164403</v>
      </c>
      <c r="I153" s="7" t="s">
        <v>374</v>
      </c>
      <c r="J153" s="7" t="s">
        <v>375</v>
      </c>
      <c r="K153" s="7" t="s">
        <v>376</v>
      </c>
      <c r="L153" s="7" t="s">
        <v>377</v>
      </c>
    </row>
    <row r="154" spans="1:12" ht="14.4" x14ac:dyDescent="0.3">
      <c r="A154" s="1" t="s">
        <v>325</v>
      </c>
      <c r="B154" s="1" t="s">
        <v>156</v>
      </c>
      <c r="C154" s="1">
        <v>2</v>
      </c>
      <c r="D154" s="7" t="s">
        <v>370</v>
      </c>
      <c r="E154" s="7" t="s">
        <v>371</v>
      </c>
      <c r="F154" s="7">
        <v>88.259357829426605</v>
      </c>
      <c r="G154" s="7" t="s">
        <v>372</v>
      </c>
      <c r="H154" s="7">
        <v>11.729369264955499</v>
      </c>
      <c r="I154" s="7" t="s">
        <v>374</v>
      </c>
      <c r="J154" s="7" t="s">
        <v>375</v>
      </c>
      <c r="K154" s="7" t="s">
        <v>376</v>
      </c>
      <c r="L154" s="7" t="s">
        <v>377</v>
      </c>
    </row>
    <row r="155" spans="1:12" ht="14.4" x14ac:dyDescent="0.3">
      <c r="A155" s="1" t="s">
        <v>326</v>
      </c>
      <c r="B155" s="1" t="s">
        <v>165</v>
      </c>
      <c r="C155" s="1">
        <v>2</v>
      </c>
      <c r="D155" s="7" t="s">
        <v>370</v>
      </c>
      <c r="E155" s="7" t="s">
        <v>371</v>
      </c>
      <c r="F155" s="7">
        <v>57.840437565870602</v>
      </c>
      <c r="G155" s="7" t="s">
        <v>372</v>
      </c>
      <c r="H155" s="7" t="s">
        <v>373</v>
      </c>
      <c r="I155" s="7" t="s">
        <v>374</v>
      </c>
      <c r="J155" s="7" t="s">
        <v>375</v>
      </c>
      <c r="K155" s="7" t="s">
        <v>376</v>
      </c>
      <c r="L155" s="7" t="s">
        <v>377</v>
      </c>
    </row>
    <row r="156" spans="1:12" ht="14.4" x14ac:dyDescent="0.3">
      <c r="A156" s="1" t="s">
        <v>327</v>
      </c>
      <c r="B156" s="1" t="s">
        <v>6</v>
      </c>
      <c r="C156" s="1">
        <v>2</v>
      </c>
      <c r="D156" s="7" t="s">
        <v>370</v>
      </c>
      <c r="E156" s="7" t="s">
        <v>371</v>
      </c>
      <c r="F156" s="7">
        <v>53.696590436847998</v>
      </c>
      <c r="G156" s="7" t="s">
        <v>372</v>
      </c>
      <c r="H156" s="7">
        <v>283.56545549921299</v>
      </c>
      <c r="I156" s="7">
        <v>282.97151241390998</v>
      </c>
      <c r="J156" s="7" t="s">
        <v>375</v>
      </c>
      <c r="K156" s="7" t="s">
        <v>376</v>
      </c>
      <c r="L156" s="7" t="s">
        <v>377</v>
      </c>
    </row>
    <row r="157" spans="1:12" ht="14.4" x14ac:dyDescent="0.3">
      <c r="A157" s="1" t="s">
        <v>328</v>
      </c>
      <c r="B157" s="1" t="s">
        <v>157</v>
      </c>
      <c r="C157" s="1">
        <v>2</v>
      </c>
      <c r="D157" s="7" t="s">
        <v>370</v>
      </c>
      <c r="E157" s="7" t="s">
        <v>371</v>
      </c>
      <c r="F157" s="7">
        <v>61.951645984202102</v>
      </c>
      <c r="G157" s="7" t="s">
        <v>372</v>
      </c>
      <c r="H157" s="7">
        <v>262.40362136574498</v>
      </c>
      <c r="I157" s="7" t="s">
        <v>374</v>
      </c>
      <c r="J157" s="7" t="s">
        <v>375</v>
      </c>
      <c r="K157" s="7" t="s">
        <v>376</v>
      </c>
      <c r="L157" s="7" t="s">
        <v>377</v>
      </c>
    </row>
    <row r="158" spans="1:12" ht="14.4" x14ac:dyDescent="0.3">
      <c r="A158" s="1" t="s">
        <v>329</v>
      </c>
      <c r="B158" s="1" t="s">
        <v>166</v>
      </c>
      <c r="C158" s="1">
        <v>2</v>
      </c>
      <c r="D158" s="7" t="s">
        <v>370</v>
      </c>
      <c r="E158" s="7" t="s">
        <v>371</v>
      </c>
      <c r="F158" s="7">
        <v>13.3276499713046</v>
      </c>
      <c r="G158" s="7" t="s">
        <v>372</v>
      </c>
      <c r="H158" s="7" t="s">
        <v>373</v>
      </c>
      <c r="I158" s="7" t="s">
        <v>374</v>
      </c>
      <c r="J158" s="7" t="s">
        <v>375</v>
      </c>
      <c r="K158" s="7" t="s">
        <v>376</v>
      </c>
      <c r="L158" s="7" t="s">
        <v>377</v>
      </c>
    </row>
    <row r="159" spans="1:12" ht="14.4" x14ac:dyDescent="0.3">
      <c r="A159" s="1" t="s">
        <v>330</v>
      </c>
      <c r="B159" s="1" t="s">
        <v>9</v>
      </c>
      <c r="C159" s="1">
        <v>2</v>
      </c>
      <c r="D159" s="7" t="s">
        <v>370</v>
      </c>
      <c r="E159" s="7" t="s">
        <v>371</v>
      </c>
      <c r="F159" s="7">
        <v>8.6514264441306903</v>
      </c>
      <c r="G159" s="7" t="s">
        <v>372</v>
      </c>
      <c r="H159" s="7">
        <v>20.807456253439799</v>
      </c>
      <c r="I159" s="7" t="s">
        <v>374</v>
      </c>
      <c r="J159" s="7" t="s">
        <v>375</v>
      </c>
      <c r="K159" s="7" t="s">
        <v>376</v>
      </c>
      <c r="L159" s="7" t="s">
        <v>377</v>
      </c>
    </row>
    <row r="160" spans="1:12" ht="14.4" x14ac:dyDescent="0.3">
      <c r="A160" s="1" t="s">
        <v>331</v>
      </c>
      <c r="B160" s="1" t="s">
        <v>152</v>
      </c>
      <c r="C160" s="1">
        <v>2</v>
      </c>
      <c r="D160" s="7" t="s">
        <v>370</v>
      </c>
      <c r="E160" s="7" t="s">
        <v>371</v>
      </c>
      <c r="F160" s="7">
        <v>11.037809803711401</v>
      </c>
      <c r="G160" s="7" t="s">
        <v>372</v>
      </c>
      <c r="H160" s="7">
        <v>89.181146964146293</v>
      </c>
      <c r="I160" s="7" t="s">
        <v>374</v>
      </c>
      <c r="J160" s="7" t="s">
        <v>375</v>
      </c>
      <c r="K160" s="7" t="s">
        <v>376</v>
      </c>
      <c r="L160" s="7" t="s">
        <v>377</v>
      </c>
    </row>
    <row r="161" spans="1:12" ht="14.4" x14ac:dyDescent="0.3">
      <c r="A161" s="1" t="s">
        <v>332</v>
      </c>
      <c r="B161" s="1" t="s">
        <v>161</v>
      </c>
      <c r="C161" s="1">
        <v>2</v>
      </c>
      <c r="D161" s="7" t="s">
        <v>370</v>
      </c>
      <c r="E161" s="7" t="s">
        <v>371</v>
      </c>
      <c r="F161" s="7">
        <v>5.4938922499248797</v>
      </c>
      <c r="G161" s="7" t="s">
        <v>372</v>
      </c>
      <c r="H161" s="7">
        <v>100.867278622523</v>
      </c>
      <c r="I161" s="7" t="s">
        <v>374</v>
      </c>
      <c r="J161" s="7" t="s">
        <v>375</v>
      </c>
      <c r="K161" s="7" t="s">
        <v>376</v>
      </c>
      <c r="L161" s="7" t="s">
        <v>377</v>
      </c>
    </row>
    <row r="162" spans="1:12" ht="14.4" x14ac:dyDescent="0.3">
      <c r="A162" s="1" t="s">
        <v>333</v>
      </c>
      <c r="B162" s="1" t="s">
        <v>167</v>
      </c>
      <c r="C162" s="1">
        <v>2</v>
      </c>
      <c r="D162" s="7" t="s">
        <v>370</v>
      </c>
      <c r="E162" s="7" t="s">
        <v>371</v>
      </c>
      <c r="F162" s="7">
        <v>14.153695610663201</v>
      </c>
      <c r="G162" s="7" t="s">
        <v>372</v>
      </c>
      <c r="H162" s="7" t="s">
        <v>373</v>
      </c>
      <c r="I162" s="7" t="s">
        <v>374</v>
      </c>
      <c r="J162" s="7" t="s">
        <v>375</v>
      </c>
      <c r="K162" s="7" t="s">
        <v>376</v>
      </c>
      <c r="L162" s="7" t="s">
        <v>377</v>
      </c>
    </row>
    <row r="163" spans="1:12" ht="14.4" x14ac:dyDescent="0.3">
      <c r="A163" s="1" t="s">
        <v>334</v>
      </c>
      <c r="B163" s="1" t="s">
        <v>3</v>
      </c>
      <c r="C163" s="1">
        <v>2</v>
      </c>
      <c r="D163" s="7" t="s">
        <v>370</v>
      </c>
      <c r="E163" s="7" t="s">
        <v>371</v>
      </c>
      <c r="F163" s="7">
        <v>26.7923383220832</v>
      </c>
      <c r="G163" s="7" t="s">
        <v>372</v>
      </c>
      <c r="H163" s="7" t="s">
        <v>373</v>
      </c>
      <c r="I163" s="7" t="s">
        <v>374</v>
      </c>
      <c r="J163" s="7" t="s">
        <v>375</v>
      </c>
      <c r="K163" s="7" t="s">
        <v>376</v>
      </c>
      <c r="L163" s="7" t="s">
        <v>377</v>
      </c>
    </row>
    <row r="164" spans="1:12" ht="14.4" x14ac:dyDescent="0.3">
      <c r="A164" s="1" t="s">
        <v>335</v>
      </c>
      <c r="B164" s="1" t="s">
        <v>8</v>
      </c>
      <c r="C164" s="1">
        <v>2</v>
      </c>
      <c r="D164" s="7" t="s">
        <v>370</v>
      </c>
      <c r="E164" s="7" t="s">
        <v>371</v>
      </c>
      <c r="F164" s="7">
        <v>58.080034583593701</v>
      </c>
      <c r="G164" s="7" t="s">
        <v>372</v>
      </c>
      <c r="H164" s="7">
        <v>183.523488149061</v>
      </c>
      <c r="I164" s="7">
        <v>298.816737962248</v>
      </c>
      <c r="J164" s="7" t="s">
        <v>375</v>
      </c>
      <c r="K164" s="7" t="s">
        <v>376</v>
      </c>
      <c r="L164" s="7" t="s">
        <v>377</v>
      </c>
    </row>
    <row r="165" spans="1:12" ht="14.4" x14ac:dyDescent="0.3">
      <c r="A165" s="1" t="s">
        <v>336</v>
      </c>
      <c r="B165" s="1" t="s">
        <v>151</v>
      </c>
      <c r="C165" s="1">
        <v>2</v>
      </c>
      <c r="D165" s="7" t="s">
        <v>370</v>
      </c>
      <c r="E165" s="7" t="s">
        <v>371</v>
      </c>
      <c r="F165" s="7">
        <v>19.6545234313154</v>
      </c>
      <c r="G165" s="7" t="s">
        <v>372</v>
      </c>
      <c r="H165" s="7">
        <v>174.48505085706401</v>
      </c>
      <c r="I165" s="7">
        <v>540.48147699506001</v>
      </c>
      <c r="J165" s="7" t="s">
        <v>375</v>
      </c>
      <c r="K165" s="7" t="s">
        <v>376</v>
      </c>
      <c r="L165" s="7" t="s">
        <v>377</v>
      </c>
    </row>
    <row r="166" spans="1:12" ht="14.4" x14ac:dyDescent="0.3">
      <c r="A166" s="1" t="s">
        <v>337</v>
      </c>
      <c r="B166" s="1" t="s">
        <v>160</v>
      </c>
      <c r="C166" s="1">
        <v>2</v>
      </c>
      <c r="D166" s="7" t="s">
        <v>370</v>
      </c>
      <c r="E166" s="7" t="s">
        <v>371</v>
      </c>
      <c r="F166" s="7">
        <v>45.902815849611898</v>
      </c>
      <c r="G166" s="7" t="s">
        <v>372</v>
      </c>
      <c r="H166" s="7" t="s">
        <v>373</v>
      </c>
      <c r="I166" s="7" t="s">
        <v>374</v>
      </c>
      <c r="J166" s="7" t="s">
        <v>375</v>
      </c>
      <c r="K166" s="7" t="s">
        <v>376</v>
      </c>
      <c r="L166" s="7" t="s">
        <v>377</v>
      </c>
    </row>
    <row r="167" spans="1:12" ht="14.4" x14ac:dyDescent="0.3">
      <c r="A167" s="1" t="s">
        <v>338</v>
      </c>
      <c r="B167" s="1" t="s">
        <v>2</v>
      </c>
      <c r="C167" s="1">
        <v>2</v>
      </c>
      <c r="D167" s="7" t="s">
        <v>370</v>
      </c>
      <c r="E167" s="7" t="s">
        <v>371</v>
      </c>
      <c r="F167" s="7">
        <v>58.647753956769101</v>
      </c>
      <c r="G167" s="7" t="s">
        <v>372</v>
      </c>
      <c r="H167" s="7">
        <v>83.265102340000993</v>
      </c>
      <c r="I167" s="7">
        <v>2592.8411434913501</v>
      </c>
      <c r="J167" s="7" t="s">
        <v>375</v>
      </c>
      <c r="K167" s="7" t="s">
        <v>376</v>
      </c>
      <c r="L167" s="7" t="s">
        <v>377</v>
      </c>
    </row>
    <row r="168" spans="1:12" ht="14.4" x14ac:dyDescent="0.3">
      <c r="A168" s="1" t="s">
        <v>339</v>
      </c>
      <c r="B168" s="1" t="s">
        <v>150</v>
      </c>
      <c r="C168" s="1">
        <v>2</v>
      </c>
      <c r="D168" s="7" t="s">
        <v>370</v>
      </c>
      <c r="E168" s="7" t="s">
        <v>371</v>
      </c>
      <c r="F168" s="7">
        <v>82.909743437855994</v>
      </c>
      <c r="G168" s="7" t="s">
        <v>372</v>
      </c>
      <c r="H168" s="7">
        <v>74.025866694926904</v>
      </c>
      <c r="I168" s="7">
        <v>2341.4108251319199</v>
      </c>
      <c r="J168" s="7" t="s">
        <v>375</v>
      </c>
      <c r="K168" s="7" t="s">
        <v>376</v>
      </c>
      <c r="L168" s="7" t="s">
        <v>377</v>
      </c>
    </row>
    <row r="169" spans="1:12" ht="14.4" x14ac:dyDescent="0.3">
      <c r="A169" s="1" t="s">
        <v>340</v>
      </c>
      <c r="B169" s="1" t="s">
        <v>159</v>
      </c>
      <c r="C169" s="1">
        <v>2</v>
      </c>
      <c r="D169" s="7" t="s">
        <v>370</v>
      </c>
      <c r="E169" s="7" t="s">
        <v>371</v>
      </c>
      <c r="F169" s="7">
        <v>34.677626498453897</v>
      </c>
      <c r="G169" s="7" t="s">
        <v>372</v>
      </c>
      <c r="H169" s="7" t="s">
        <v>373</v>
      </c>
      <c r="I169" s="7" t="s">
        <v>374</v>
      </c>
      <c r="J169" s="7" t="s">
        <v>375</v>
      </c>
      <c r="K169" s="7" t="s">
        <v>376</v>
      </c>
      <c r="L169" s="7" t="s">
        <v>377</v>
      </c>
    </row>
    <row r="170" spans="1:12" ht="14.4" x14ac:dyDescent="0.3">
      <c r="A170" s="1" t="s">
        <v>341</v>
      </c>
      <c r="B170" s="1" t="s">
        <v>1</v>
      </c>
      <c r="C170" s="1">
        <v>2</v>
      </c>
      <c r="D170" s="7" t="s">
        <v>370</v>
      </c>
      <c r="E170" s="7" t="s">
        <v>371</v>
      </c>
      <c r="F170" s="7">
        <v>35.316433382178602</v>
      </c>
      <c r="G170" s="7" t="s">
        <v>372</v>
      </c>
      <c r="H170" s="7" t="s">
        <v>373</v>
      </c>
      <c r="I170" s="7" t="s">
        <v>374</v>
      </c>
      <c r="J170" s="7" t="s">
        <v>375</v>
      </c>
      <c r="K170" s="7" t="s">
        <v>376</v>
      </c>
      <c r="L170" s="7" t="s">
        <v>377</v>
      </c>
    </row>
    <row r="171" spans="1:12" ht="14.4" x14ac:dyDescent="0.3">
      <c r="A171" s="1" t="s">
        <v>342</v>
      </c>
      <c r="B171" s="1" t="s">
        <v>149</v>
      </c>
      <c r="C171" s="1">
        <v>2</v>
      </c>
      <c r="D171" s="7" t="s">
        <v>370</v>
      </c>
      <c r="E171" s="7" t="s">
        <v>371</v>
      </c>
      <c r="F171" s="7">
        <v>46.076195098524998</v>
      </c>
      <c r="G171" s="7" t="s">
        <v>372</v>
      </c>
      <c r="H171" s="7">
        <v>5.6375591917448897</v>
      </c>
      <c r="I171" s="7">
        <v>36.932544156335098</v>
      </c>
      <c r="J171" s="7" t="s">
        <v>375</v>
      </c>
      <c r="K171" s="7" t="s">
        <v>376</v>
      </c>
      <c r="L171" s="7" t="s">
        <v>377</v>
      </c>
    </row>
    <row r="172" spans="1:12" ht="14.4" x14ac:dyDescent="0.3">
      <c r="A172" s="1" t="s">
        <v>343</v>
      </c>
      <c r="B172" s="1" t="s">
        <v>158</v>
      </c>
      <c r="C172" s="1">
        <v>2</v>
      </c>
      <c r="D172" s="7" t="s">
        <v>370</v>
      </c>
      <c r="E172" s="7" t="s">
        <v>371</v>
      </c>
      <c r="F172" s="7">
        <v>24.8231459763395</v>
      </c>
      <c r="G172" s="7" t="s">
        <v>372</v>
      </c>
      <c r="H172" s="7">
        <v>29.024189473579501</v>
      </c>
      <c r="I172" s="7">
        <v>163.701280284859</v>
      </c>
      <c r="J172" s="7" t="s">
        <v>375</v>
      </c>
      <c r="K172" s="7" t="s">
        <v>376</v>
      </c>
      <c r="L172" s="7" t="s">
        <v>377</v>
      </c>
    </row>
    <row r="173" spans="1:12" ht="14.4" x14ac:dyDescent="0.3">
      <c r="A173" s="1" t="s">
        <v>344</v>
      </c>
      <c r="B173" s="1" t="s">
        <v>146</v>
      </c>
      <c r="C173" s="1">
        <v>2</v>
      </c>
      <c r="D173" s="7" t="s">
        <v>370</v>
      </c>
      <c r="E173" s="7" t="s">
        <v>371</v>
      </c>
      <c r="F173" s="7">
        <v>48.253498454232499</v>
      </c>
      <c r="G173" s="7" t="s">
        <v>372</v>
      </c>
      <c r="H173" s="7">
        <v>24.536732106289602</v>
      </c>
      <c r="I173" s="7">
        <v>96.044973866429103</v>
      </c>
      <c r="J173" s="7" t="s">
        <v>375</v>
      </c>
      <c r="K173" s="7" t="s">
        <v>376</v>
      </c>
      <c r="L173" s="7" t="s">
        <v>377</v>
      </c>
    </row>
    <row r="174" spans="1:12" ht="14.4" x14ac:dyDescent="0.3">
      <c r="A174" s="1" t="s">
        <v>345</v>
      </c>
      <c r="B174" s="1" t="s">
        <v>0</v>
      </c>
      <c r="C174" s="1">
        <v>2</v>
      </c>
      <c r="D174" s="7" t="s">
        <v>370</v>
      </c>
      <c r="E174" s="7" t="s">
        <v>371</v>
      </c>
      <c r="F174" s="7">
        <v>32.605429702136</v>
      </c>
      <c r="G174" s="7" t="s">
        <v>372</v>
      </c>
      <c r="H174" s="7" t="s">
        <v>373</v>
      </c>
      <c r="I174" s="7" t="s">
        <v>374</v>
      </c>
      <c r="J174" s="7" t="s">
        <v>375</v>
      </c>
      <c r="K174" s="7" t="s">
        <v>376</v>
      </c>
      <c r="L174" s="7" t="s">
        <v>377</v>
      </c>
    </row>
    <row r="175" spans="1:12" ht="14.4" x14ac:dyDescent="0.3">
      <c r="A175" s="1" t="s">
        <v>378</v>
      </c>
      <c r="B175" s="1" t="s">
        <v>379</v>
      </c>
      <c r="C175" s="1">
        <v>2</v>
      </c>
      <c r="D175" s="7" t="s">
        <v>370</v>
      </c>
      <c r="E175" s="7" t="s">
        <v>371</v>
      </c>
      <c r="F175" s="7">
        <v>15.739513930661399</v>
      </c>
      <c r="G175" s="7" t="s">
        <v>372</v>
      </c>
      <c r="H175" s="7" t="s">
        <v>373</v>
      </c>
      <c r="I175" s="7" t="s">
        <v>374</v>
      </c>
      <c r="J175" s="7" t="s">
        <v>375</v>
      </c>
      <c r="K175" s="7" t="s">
        <v>376</v>
      </c>
      <c r="L175" s="7" t="s">
        <v>377</v>
      </c>
    </row>
  </sheetData>
  <conditionalFormatting sqref="A1:L175">
    <cfRule type="containsText" dxfId="5" priority="1" operator="containsText" text="&lt;">
      <formula>NOT(ISERROR(SEARCH("&lt;",A1)))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BE29-7732-4728-83E6-A0FE823DCCFB}">
  <dimension ref="A1:AH181"/>
  <sheetViews>
    <sheetView zoomScaleNormal="100" workbookViewId="0">
      <pane xSplit="2" ySplit="4" topLeftCell="C5" activePane="bottomRight" state="frozen"/>
      <selection pane="topRight" activeCell="C1" sqref="C1"/>
      <selection pane="bottomLeft" activeCell="A4" sqref="A4"/>
      <selection pane="bottomRight" activeCell="A181" sqref="A1:K181"/>
    </sheetView>
  </sheetViews>
  <sheetFormatPr defaultColWidth="9.109375" defaultRowHeight="14.4" x14ac:dyDescent="0.3"/>
  <cols>
    <col min="1" max="1" width="13.88671875" style="1" customWidth="1"/>
    <col min="2" max="2" width="15.109375" style="1" bestFit="1" customWidth="1"/>
    <col min="3" max="11" width="11.44140625" style="1" customWidth="1"/>
    <col min="12" max="12" width="22.6640625" style="1" bestFit="1" customWidth="1"/>
    <col min="13" max="13" width="9.109375" style="1" customWidth="1"/>
    <col min="14" max="19" width="9.109375" style="1"/>
    <col min="20" max="20" width="14.109375" style="1" bestFit="1" customWidth="1"/>
    <col min="21" max="21" width="14.44140625" bestFit="1" customWidth="1"/>
    <col min="22" max="23" width="9.109375" style="1"/>
    <col min="24" max="24" width="22.6640625" style="1" bestFit="1" customWidth="1"/>
    <col min="25" max="31" width="9.109375" style="1"/>
    <col min="32" max="32" width="14.109375" style="1" bestFit="1" customWidth="1"/>
    <col min="33" max="33" width="14.44140625" bestFit="1" customWidth="1"/>
    <col min="34" max="16384" width="9.109375" style="1"/>
  </cols>
  <sheetData>
    <row r="1" spans="1:34" x14ac:dyDescent="0.3">
      <c r="M1" s="11" t="s">
        <v>387</v>
      </c>
      <c r="N1" s="11"/>
      <c r="O1" s="11"/>
      <c r="P1" s="11"/>
      <c r="Q1" s="11"/>
      <c r="R1" s="11"/>
      <c r="S1" s="11"/>
      <c r="T1" s="11"/>
      <c r="U1" s="11"/>
      <c r="V1" s="11"/>
      <c r="Y1" s="11" t="s">
        <v>386</v>
      </c>
      <c r="Z1" s="11"/>
      <c r="AA1" s="11"/>
      <c r="AB1" s="11"/>
      <c r="AC1" s="11"/>
      <c r="AD1" s="11"/>
      <c r="AE1" s="11"/>
      <c r="AF1" s="11"/>
      <c r="AG1" s="11"/>
      <c r="AH1" s="11"/>
    </row>
    <row r="2" spans="1:34" x14ac:dyDescent="0.3">
      <c r="B2" s="3" t="s">
        <v>350</v>
      </c>
      <c r="C2" s="7">
        <v>31.9932573557296</v>
      </c>
      <c r="D2" s="7">
        <v>12.3269677239128</v>
      </c>
      <c r="E2" s="7">
        <v>12.760672346331001</v>
      </c>
      <c r="F2" s="7">
        <v>9.3996814910890496</v>
      </c>
      <c r="G2" s="7">
        <v>9.8434775531288405</v>
      </c>
      <c r="H2" s="7">
        <v>104.564730757468</v>
      </c>
      <c r="I2" s="7">
        <v>28.230895473921102</v>
      </c>
      <c r="J2" s="7">
        <v>35.109839531396297</v>
      </c>
      <c r="K2" s="7">
        <v>17.845872602146901</v>
      </c>
      <c r="M2" s="10" t="s">
        <v>352</v>
      </c>
      <c r="N2" s="10" t="s">
        <v>353</v>
      </c>
      <c r="O2" s="10" t="s">
        <v>354</v>
      </c>
      <c r="P2" s="10" t="s">
        <v>355</v>
      </c>
      <c r="Q2" s="10" t="s">
        <v>356</v>
      </c>
      <c r="R2" s="10" t="s">
        <v>357</v>
      </c>
      <c r="S2" s="10" t="s">
        <v>358</v>
      </c>
      <c r="T2" s="10" t="s">
        <v>380</v>
      </c>
      <c r="U2" s="10" t="s">
        <v>381</v>
      </c>
      <c r="V2" s="10" t="s">
        <v>360</v>
      </c>
      <c r="Y2" s="10" t="s">
        <v>352</v>
      </c>
      <c r="Z2" s="10" t="s">
        <v>353</v>
      </c>
      <c r="AA2" s="10" t="s">
        <v>354</v>
      </c>
      <c r="AB2" s="10" t="s">
        <v>355</v>
      </c>
      <c r="AC2" s="10" t="s">
        <v>356</v>
      </c>
      <c r="AD2" s="10" t="s">
        <v>357</v>
      </c>
      <c r="AE2" s="10" t="s">
        <v>358</v>
      </c>
      <c r="AF2" s="10" t="s">
        <v>380</v>
      </c>
      <c r="AG2" s="10" t="s">
        <v>381</v>
      </c>
      <c r="AH2" s="10" t="s">
        <v>360</v>
      </c>
    </row>
    <row r="3" spans="1:34" x14ac:dyDescent="0.3">
      <c r="A3" s="5"/>
      <c r="B3" s="6" t="s">
        <v>351</v>
      </c>
      <c r="C3" s="8">
        <v>9.5979772067188893</v>
      </c>
      <c r="D3" s="8">
        <v>3.6980903171738402</v>
      </c>
      <c r="E3" s="8">
        <v>3.8282017038993201</v>
      </c>
      <c r="F3" s="8">
        <v>2.8199044473267101</v>
      </c>
      <c r="G3" s="8">
        <v>2.9530432659386499</v>
      </c>
      <c r="H3" s="8">
        <v>31.369419227240499</v>
      </c>
      <c r="I3" s="8">
        <v>8.4692686421763508</v>
      </c>
      <c r="J3" s="8">
        <v>10.5329518594188</v>
      </c>
      <c r="K3" s="8">
        <v>5.3537617806440796</v>
      </c>
      <c r="L3" s="1" t="s">
        <v>383</v>
      </c>
      <c r="M3" s="1">
        <f t="shared" ref="M3:V3" si="0">COUNTIF(M4:M181,"Y")</f>
        <v>2</v>
      </c>
      <c r="N3" s="1">
        <f t="shared" si="0"/>
        <v>0</v>
      </c>
      <c r="O3" s="1">
        <f t="shared" si="0"/>
        <v>0</v>
      </c>
      <c r="P3" s="1">
        <f t="shared" si="0"/>
        <v>0</v>
      </c>
      <c r="Q3" s="1">
        <f t="shared" si="0"/>
        <v>29</v>
      </c>
      <c r="R3" s="1">
        <f t="shared" si="0"/>
        <v>7</v>
      </c>
      <c r="S3" s="1">
        <f t="shared" si="0"/>
        <v>0</v>
      </c>
      <c r="T3" s="1">
        <f t="shared" si="0"/>
        <v>2</v>
      </c>
      <c r="U3" s="1">
        <f t="shared" si="0"/>
        <v>0</v>
      </c>
      <c r="V3" s="1">
        <f t="shared" si="0"/>
        <v>0</v>
      </c>
      <c r="X3" s="1" t="s">
        <v>383</v>
      </c>
      <c r="Y3" s="1">
        <f t="shared" ref="Y3:AH3" si="1">COUNTIF(Y4:Y181,"Y")</f>
        <v>2</v>
      </c>
      <c r="Z3" s="1">
        <f t="shared" si="1"/>
        <v>0</v>
      </c>
      <c r="AA3" s="1">
        <f t="shared" si="1"/>
        <v>0</v>
      </c>
      <c r="AB3" s="1">
        <f t="shared" si="1"/>
        <v>0</v>
      </c>
      <c r="AC3" s="1">
        <f t="shared" si="1"/>
        <v>21</v>
      </c>
      <c r="AD3" s="1">
        <f t="shared" si="1"/>
        <v>0</v>
      </c>
      <c r="AE3" s="1">
        <f t="shared" si="1"/>
        <v>0</v>
      </c>
      <c r="AF3" s="1">
        <f t="shared" si="1"/>
        <v>0</v>
      </c>
      <c r="AG3" s="1">
        <f t="shared" si="1"/>
        <v>0</v>
      </c>
      <c r="AH3" s="1">
        <f t="shared" si="1"/>
        <v>0</v>
      </c>
    </row>
    <row r="4" spans="1:34" x14ac:dyDescent="0.3">
      <c r="A4" s="10" t="s">
        <v>172</v>
      </c>
      <c r="B4" s="10" t="s">
        <v>349</v>
      </c>
      <c r="C4" s="10" t="s">
        <v>352</v>
      </c>
      <c r="D4" s="10" t="s">
        <v>353</v>
      </c>
      <c r="E4" s="10" t="s">
        <v>354</v>
      </c>
      <c r="F4" s="10" t="s">
        <v>355</v>
      </c>
      <c r="G4" s="10" t="s">
        <v>356</v>
      </c>
      <c r="H4" s="10" t="s">
        <v>357</v>
      </c>
      <c r="I4" s="10" t="s">
        <v>358</v>
      </c>
      <c r="J4" s="10" t="s">
        <v>359</v>
      </c>
      <c r="K4" s="10" t="s">
        <v>360</v>
      </c>
      <c r="L4" s="1" t="s">
        <v>382</v>
      </c>
      <c r="M4" s="1">
        <v>10</v>
      </c>
      <c r="N4" s="1">
        <v>2</v>
      </c>
      <c r="O4" s="1">
        <v>5000</v>
      </c>
      <c r="P4" s="1">
        <v>5</v>
      </c>
      <c r="Q4" s="1">
        <v>50</v>
      </c>
      <c r="R4" s="1">
        <v>300</v>
      </c>
      <c r="S4" s="1">
        <v>100</v>
      </c>
      <c r="T4" s="1">
        <v>50</v>
      </c>
      <c r="U4" s="1">
        <v>200</v>
      </c>
      <c r="V4" s="1">
        <v>1000</v>
      </c>
      <c r="X4" s="1" t="s">
        <v>384</v>
      </c>
      <c r="Y4" s="1">
        <v>10</v>
      </c>
      <c r="Z4" s="1">
        <v>2</v>
      </c>
      <c r="AA4" s="1" t="s">
        <v>385</v>
      </c>
      <c r="AB4" s="1">
        <v>3</v>
      </c>
      <c r="AC4" s="1">
        <v>80</v>
      </c>
      <c r="AD4" s="1" t="s">
        <v>385</v>
      </c>
      <c r="AE4" s="1">
        <v>50</v>
      </c>
      <c r="AF4" s="1" t="s">
        <v>385</v>
      </c>
      <c r="AG4" s="1" t="s">
        <v>385</v>
      </c>
      <c r="AH4" s="1">
        <v>2000</v>
      </c>
    </row>
    <row r="5" spans="1:34" x14ac:dyDescent="0.3">
      <c r="A5" s="1" t="s">
        <v>173</v>
      </c>
      <c r="B5" s="1" t="s">
        <v>21</v>
      </c>
      <c r="C5" s="7" t="s">
        <v>361</v>
      </c>
      <c r="D5" s="7" t="s">
        <v>362</v>
      </c>
      <c r="E5" s="7">
        <v>37.881889629731802</v>
      </c>
      <c r="F5" s="7" t="s">
        <v>363</v>
      </c>
      <c r="G5" s="7">
        <v>14.193342428187799</v>
      </c>
      <c r="H5" s="7" t="s">
        <v>364</v>
      </c>
      <c r="I5" s="7" t="s">
        <v>365</v>
      </c>
      <c r="J5" s="7" t="s">
        <v>366</v>
      </c>
      <c r="K5" s="7" t="s">
        <v>367</v>
      </c>
      <c r="M5" s="1" t="str">
        <f t="shared" ref="M5:M36" si="2">IF(AND(C5&gt;M$4,ISNUMBER(C5)),"Y","N")</f>
        <v>N</v>
      </c>
      <c r="N5" s="1" t="str">
        <f t="shared" ref="N5:N36" si="3">IF(AND(D5&gt;N$4,ISNUMBER(D5)),"Y","N")</f>
        <v>N</v>
      </c>
      <c r="O5" s="1" t="str">
        <f t="shared" ref="O5:O36" si="4">IF(AND(E5&gt;O$4,ISNUMBER(E5)),"Y","N")</f>
        <v>N</v>
      </c>
      <c r="P5" s="1" t="str">
        <f t="shared" ref="P5:P36" si="5">IF(AND(F5&gt;P$4,ISNUMBER(F5)),"Y","N")</f>
        <v>N</v>
      </c>
      <c r="Q5" s="1" t="str">
        <f t="shared" ref="Q5:Q36" si="6">IF(AND(G5&gt;Q$4,ISNUMBER(G5)),"Y","N")</f>
        <v>N</v>
      </c>
      <c r="R5" s="1" t="str">
        <f t="shared" ref="R5:R36" si="7">IF(AND(H5&gt;R$4,ISNUMBER(H5)),"Y","N")</f>
        <v>N</v>
      </c>
      <c r="S5" s="1" t="str">
        <f t="shared" ref="S5:S36" si="8">IF(AND(I5&gt;S$4,ISNUMBER(I5)),"Y","N")</f>
        <v>N</v>
      </c>
      <c r="T5" s="1" t="str">
        <f t="shared" ref="T5:T36" si="9">IF(AND(J5&lt;T$4,ISNUMBER(J5)),"Y","N")</f>
        <v>N</v>
      </c>
      <c r="U5" s="1" t="str">
        <f t="shared" ref="U5:U36" si="10">IF(AND(K5&gt;U$4,ISNUMBER(K5)),"Y","N")</f>
        <v>N</v>
      </c>
      <c r="V5" s="1" t="str">
        <f t="shared" ref="V5:V36" si="11">IF(AND(L5&gt;V$4,ISNUMBER(L5)),"Y","N")</f>
        <v>N</v>
      </c>
      <c r="Y5" s="1" t="str">
        <f>IF(AND(C5&gt;Y$4,ISNUMBER(C5)),"Y","N")</f>
        <v>N</v>
      </c>
      <c r="Z5" s="1" t="str">
        <f t="shared" ref="Z5:AH5" si="12">IF(AND(D5&gt;Z$4,ISNUMBER(D5)),"Y","N")</f>
        <v>N</v>
      </c>
      <c r="AA5" s="1" t="str">
        <f t="shared" si="12"/>
        <v>N</v>
      </c>
      <c r="AB5" s="1" t="str">
        <f t="shared" si="12"/>
        <v>N</v>
      </c>
      <c r="AC5" s="1" t="str">
        <f t="shared" si="12"/>
        <v>N</v>
      </c>
      <c r="AD5" s="1" t="str">
        <f t="shared" si="12"/>
        <v>N</v>
      </c>
      <c r="AE5" s="1" t="str">
        <f t="shared" si="12"/>
        <v>N</v>
      </c>
      <c r="AF5" s="1" t="str">
        <f t="shared" si="12"/>
        <v>N</v>
      </c>
      <c r="AG5" s="1" t="str">
        <f t="shared" si="12"/>
        <v>N</v>
      </c>
      <c r="AH5" s="1" t="str">
        <f t="shared" si="12"/>
        <v>N</v>
      </c>
    </row>
    <row r="6" spans="1:34" x14ac:dyDescent="0.3">
      <c r="A6" s="1" t="s">
        <v>174</v>
      </c>
      <c r="B6" s="1" t="s">
        <v>30</v>
      </c>
      <c r="C6" s="7" t="s">
        <v>361</v>
      </c>
      <c r="D6" s="7" t="s">
        <v>362</v>
      </c>
      <c r="E6" s="7">
        <v>66.820895746192093</v>
      </c>
      <c r="F6" s="7" t="s">
        <v>363</v>
      </c>
      <c r="G6" s="7">
        <v>39.662238157480601</v>
      </c>
      <c r="H6" s="7" t="s">
        <v>364</v>
      </c>
      <c r="I6" s="7" t="s">
        <v>365</v>
      </c>
      <c r="J6" s="7" t="s">
        <v>366</v>
      </c>
      <c r="K6" s="7">
        <v>25.432358583018502</v>
      </c>
      <c r="M6" s="1" t="str">
        <f t="shared" si="2"/>
        <v>N</v>
      </c>
      <c r="N6" s="1" t="str">
        <f t="shared" si="3"/>
        <v>N</v>
      </c>
      <c r="O6" s="1" t="str">
        <f t="shared" si="4"/>
        <v>N</v>
      </c>
      <c r="P6" s="1" t="str">
        <f t="shared" si="5"/>
        <v>N</v>
      </c>
      <c r="Q6" s="1" t="str">
        <f t="shared" si="6"/>
        <v>N</v>
      </c>
      <c r="R6" s="1" t="str">
        <f t="shared" si="7"/>
        <v>N</v>
      </c>
      <c r="S6" s="1" t="str">
        <f t="shared" si="8"/>
        <v>N</v>
      </c>
      <c r="T6" s="1" t="str">
        <f t="shared" si="9"/>
        <v>N</v>
      </c>
      <c r="U6" s="1" t="str">
        <f t="shared" si="10"/>
        <v>N</v>
      </c>
      <c r="V6" s="1" t="str">
        <f t="shared" si="11"/>
        <v>N</v>
      </c>
      <c r="Y6" s="1" t="str">
        <f t="shared" ref="Y6:Y69" si="13">IF(AND(C6&gt;Y$4,ISNUMBER(C6)),"Y","N")</f>
        <v>N</v>
      </c>
      <c r="Z6" s="1" t="str">
        <f t="shared" ref="Z6:Z69" si="14">IF(AND(D6&gt;Z$4,ISNUMBER(D6)),"Y","N")</f>
        <v>N</v>
      </c>
      <c r="AA6" s="1" t="str">
        <f t="shared" ref="AA6:AA69" si="15">IF(AND(E6&gt;AA$4,ISNUMBER(E6)),"Y","N")</f>
        <v>N</v>
      </c>
      <c r="AB6" s="1" t="str">
        <f t="shared" ref="AB6:AB69" si="16">IF(AND(F6&gt;AB$4,ISNUMBER(F6)),"Y","N")</f>
        <v>N</v>
      </c>
      <c r="AC6" s="1" t="str">
        <f t="shared" ref="AC6:AC69" si="17">IF(AND(G6&gt;AC$4,ISNUMBER(G6)),"Y","N")</f>
        <v>N</v>
      </c>
      <c r="AD6" s="1" t="str">
        <f t="shared" ref="AD6:AD69" si="18">IF(AND(H6&gt;AD$4,ISNUMBER(H6)),"Y","N")</f>
        <v>N</v>
      </c>
      <c r="AE6" s="1" t="str">
        <f t="shared" ref="AE6:AE69" si="19">IF(AND(I6&gt;AE$4,ISNUMBER(I6)),"Y","N")</f>
        <v>N</v>
      </c>
      <c r="AF6" s="1" t="str">
        <f t="shared" ref="AF6:AF69" si="20">IF(AND(J6&gt;AF$4,ISNUMBER(J6)),"Y","N")</f>
        <v>N</v>
      </c>
      <c r="AG6" s="1" t="str">
        <f t="shared" ref="AG6:AG69" si="21">IF(AND(K6&gt;AG$4,ISNUMBER(K6)),"Y","N")</f>
        <v>N</v>
      </c>
      <c r="AH6" s="1" t="str">
        <f t="shared" ref="AH6:AH69" si="22">IF(AND(L6&gt;AH$4,ISNUMBER(L6)),"Y","N")</f>
        <v>N</v>
      </c>
    </row>
    <row r="7" spans="1:34" x14ac:dyDescent="0.3">
      <c r="A7" s="1" t="s">
        <v>175</v>
      </c>
      <c r="B7" s="1" t="s">
        <v>118</v>
      </c>
      <c r="C7" s="7" t="s">
        <v>361</v>
      </c>
      <c r="D7" s="7" t="s">
        <v>362</v>
      </c>
      <c r="E7" s="7">
        <v>32.8212601176429</v>
      </c>
      <c r="F7" s="7" t="s">
        <v>363</v>
      </c>
      <c r="G7" s="7">
        <v>15.4696581684442</v>
      </c>
      <c r="H7" s="7" t="s">
        <v>364</v>
      </c>
      <c r="I7" s="7" t="s">
        <v>365</v>
      </c>
      <c r="J7" s="7" t="s">
        <v>366</v>
      </c>
      <c r="K7" s="7" t="s">
        <v>367</v>
      </c>
      <c r="M7" s="1" t="str">
        <f t="shared" si="2"/>
        <v>N</v>
      </c>
      <c r="N7" s="1" t="str">
        <f t="shared" si="3"/>
        <v>N</v>
      </c>
      <c r="O7" s="1" t="str">
        <f t="shared" si="4"/>
        <v>N</v>
      </c>
      <c r="P7" s="1" t="str">
        <f t="shared" si="5"/>
        <v>N</v>
      </c>
      <c r="Q7" s="1" t="str">
        <f t="shared" si="6"/>
        <v>N</v>
      </c>
      <c r="R7" s="1" t="str">
        <f t="shared" si="7"/>
        <v>N</v>
      </c>
      <c r="S7" s="1" t="str">
        <f t="shared" si="8"/>
        <v>N</v>
      </c>
      <c r="T7" s="1" t="str">
        <f t="shared" si="9"/>
        <v>N</v>
      </c>
      <c r="U7" s="1" t="str">
        <f t="shared" si="10"/>
        <v>N</v>
      </c>
      <c r="V7" s="1" t="str">
        <f t="shared" si="11"/>
        <v>N</v>
      </c>
      <c r="Y7" s="1" t="str">
        <f t="shared" si="13"/>
        <v>N</v>
      </c>
      <c r="Z7" s="1" t="str">
        <f t="shared" si="14"/>
        <v>N</v>
      </c>
      <c r="AA7" s="1" t="str">
        <f t="shared" si="15"/>
        <v>N</v>
      </c>
      <c r="AB7" s="1" t="str">
        <f t="shared" si="16"/>
        <v>N</v>
      </c>
      <c r="AC7" s="1" t="str">
        <f t="shared" si="17"/>
        <v>N</v>
      </c>
      <c r="AD7" s="1" t="str">
        <f t="shared" si="18"/>
        <v>N</v>
      </c>
      <c r="AE7" s="1" t="str">
        <f t="shared" si="19"/>
        <v>N</v>
      </c>
      <c r="AF7" s="1" t="str">
        <f t="shared" si="20"/>
        <v>N</v>
      </c>
      <c r="AG7" s="1" t="str">
        <f t="shared" si="21"/>
        <v>N</v>
      </c>
      <c r="AH7" s="1" t="str">
        <f t="shared" si="22"/>
        <v>N</v>
      </c>
    </row>
    <row r="8" spans="1:34" x14ac:dyDescent="0.3">
      <c r="A8" s="1" t="s">
        <v>176</v>
      </c>
      <c r="B8" s="1" t="s">
        <v>116</v>
      </c>
      <c r="C8" s="7" t="s">
        <v>361</v>
      </c>
      <c r="D8" s="7" t="s">
        <v>362</v>
      </c>
      <c r="E8" s="7">
        <v>41.126675938275298</v>
      </c>
      <c r="F8" s="7" t="s">
        <v>363</v>
      </c>
      <c r="G8" s="7">
        <v>4.8619831612875499</v>
      </c>
      <c r="H8" s="7" t="s">
        <v>364</v>
      </c>
      <c r="I8" s="7" t="s">
        <v>365</v>
      </c>
      <c r="J8" s="7" t="s">
        <v>366</v>
      </c>
      <c r="K8" s="7">
        <v>6.3976408039298196</v>
      </c>
      <c r="M8" s="1" t="str">
        <f t="shared" si="2"/>
        <v>N</v>
      </c>
      <c r="N8" s="1" t="str">
        <f t="shared" si="3"/>
        <v>N</v>
      </c>
      <c r="O8" s="1" t="str">
        <f t="shared" si="4"/>
        <v>N</v>
      </c>
      <c r="P8" s="1" t="str">
        <f t="shared" si="5"/>
        <v>N</v>
      </c>
      <c r="Q8" s="1" t="str">
        <f t="shared" si="6"/>
        <v>N</v>
      </c>
      <c r="R8" s="1" t="str">
        <f t="shared" si="7"/>
        <v>N</v>
      </c>
      <c r="S8" s="1" t="str">
        <f t="shared" si="8"/>
        <v>N</v>
      </c>
      <c r="T8" s="1" t="str">
        <f t="shared" si="9"/>
        <v>N</v>
      </c>
      <c r="U8" s="1" t="str">
        <f t="shared" si="10"/>
        <v>N</v>
      </c>
      <c r="V8" s="1" t="str">
        <f t="shared" si="11"/>
        <v>N</v>
      </c>
      <c r="Y8" s="1" t="str">
        <f t="shared" si="13"/>
        <v>N</v>
      </c>
      <c r="Z8" s="1" t="str">
        <f t="shared" si="14"/>
        <v>N</v>
      </c>
      <c r="AA8" s="1" t="str">
        <f t="shared" si="15"/>
        <v>N</v>
      </c>
      <c r="AB8" s="1" t="str">
        <f t="shared" si="16"/>
        <v>N</v>
      </c>
      <c r="AC8" s="1" t="str">
        <f t="shared" si="17"/>
        <v>N</v>
      </c>
      <c r="AD8" s="1" t="str">
        <f t="shared" si="18"/>
        <v>N</v>
      </c>
      <c r="AE8" s="1" t="str">
        <f t="shared" si="19"/>
        <v>N</v>
      </c>
      <c r="AF8" s="1" t="str">
        <f t="shared" si="20"/>
        <v>N</v>
      </c>
      <c r="AG8" s="1" t="str">
        <f t="shared" si="21"/>
        <v>N</v>
      </c>
      <c r="AH8" s="1" t="str">
        <f t="shared" si="22"/>
        <v>N</v>
      </c>
    </row>
    <row r="9" spans="1:34" x14ac:dyDescent="0.3">
      <c r="A9" s="1" t="s">
        <v>177</v>
      </c>
      <c r="B9" s="1" t="s">
        <v>66</v>
      </c>
      <c r="C9" s="7" t="s">
        <v>361</v>
      </c>
      <c r="D9" s="7" t="s">
        <v>362</v>
      </c>
      <c r="E9" s="7">
        <v>78.059637797949193</v>
      </c>
      <c r="F9" s="7" t="s">
        <v>363</v>
      </c>
      <c r="G9" s="7">
        <v>68.786856158395395</v>
      </c>
      <c r="H9" s="7" t="s">
        <v>364</v>
      </c>
      <c r="I9" s="7" t="s">
        <v>365</v>
      </c>
      <c r="J9" s="7">
        <v>77.185861930527807</v>
      </c>
      <c r="K9" s="7">
        <v>15.7544977741226</v>
      </c>
      <c r="M9" s="1" t="str">
        <f t="shared" si="2"/>
        <v>N</v>
      </c>
      <c r="N9" s="1" t="str">
        <f t="shared" si="3"/>
        <v>N</v>
      </c>
      <c r="O9" s="1" t="str">
        <f t="shared" si="4"/>
        <v>N</v>
      </c>
      <c r="P9" s="1" t="str">
        <f t="shared" si="5"/>
        <v>N</v>
      </c>
      <c r="Q9" s="1" t="str">
        <f t="shared" si="6"/>
        <v>Y</v>
      </c>
      <c r="R9" s="1" t="str">
        <f t="shared" si="7"/>
        <v>N</v>
      </c>
      <c r="S9" s="1" t="str">
        <f t="shared" si="8"/>
        <v>N</v>
      </c>
      <c r="T9" s="1" t="str">
        <f t="shared" si="9"/>
        <v>N</v>
      </c>
      <c r="U9" s="1" t="str">
        <f t="shared" si="10"/>
        <v>N</v>
      </c>
      <c r="V9" s="1" t="str">
        <f t="shared" si="11"/>
        <v>N</v>
      </c>
      <c r="Y9" s="1" t="str">
        <f t="shared" si="13"/>
        <v>N</v>
      </c>
      <c r="Z9" s="1" t="str">
        <f t="shared" si="14"/>
        <v>N</v>
      </c>
      <c r="AA9" s="1" t="str">
        <f t="shared" si="15"/>
        <v>N</v>
      </c>
      <c r="AB9" s="1" t="str">
        <f t="shared" si="16"/>
        <v>N</v>
      </c>
      <c r="AC9" s="1" t="str">
        <f t="shared" si="17"/>
        <v>N</v>
      </c>
      <c r="AD9" s="1" t="str">
        <f t="shared" si="18"/>
        <v>N</v>
      </c>
      <c r="AE9" s="1" t="str">
        <f t="shared" si="19"/>
        <v>N</v>
      </c>
      <c r="AF9" s="1" t="str">
        <f t="shared" si="20"/>
        <v>N</v>
      </c>
      <c r="AG9" s="1" t="str">
        <f t="shared" si="21"/>
        <v>N</v>
      </c>
      <c r="AH9" s="1" t="str">
        <f t="shared" si="22"/>
        <v>N</v>
      </c>
    </row>
    <row r="10" spans="1:34" x14ac:dyDescent="0.3">
      <c r="A10" s="1" t="s">
        <v>178</v>
      </c>
      <c r="B10" s="1" t="s">
        <v>73</v>
      </c>
      <c r="C10" s="7" t="s">
        <v>361</v>
      </c>
      <c r="D10" s="7" t="s">
        <v>362</v>
      </c>
      <c r="E10" s="7">
        <v>74.261785391622894</v>
      </c>
      <c r="F10" s="7" t="s">
        <v>363</v>
      </c>
      <c r="G10" s="7">
        <v>4.2684449923372503</v>
      </c>
      <c r="H10" s="7" t="s">
        <v>364</v>
      </c>
      <c r="I10" s="7" t="s">
        <v>365</v>
      </c>
      <c r="J10" s="7" t="s">
        <v>366</v>
      </c>
      <c r="K10" s="7" t="s">
        <v>367</v>
      </c>
      <c r="M10" s="1" t="str">
        <f t="shared" si="2"/>
        <v>N</v>
      </c>
      <c r="N10" s="1" t="str">
        <f t="shared" si="3"/>
        <v>N</v>
      </c>
      <c r="O10" s="1" t="str">
        <f t="shared" si="4"/>
        <v>N</v>
      </c>
      <c r="P10" s="1" t="str">
        <f t="shared" si="5"/>
        <v>N</v>
      </c>
      <c r="Q10" s="1" t="str">
        <f t="shared" si="6"/>
        <v>N</v>
      </c>
      <c r="R10" s="1" t="str">
        <f t="shared" si="7"/>
        <v>N</v>
      </c>
      <c r="S10" s="1" t="str">
        <f t="shared" si="8"/>
        <v>N</v>
      </c>
      <c r="T10" s="1" t="str">
        <f t="shared" si="9"/>
        <v>N</v>
      </c>
      <c r="U10" s="1" t="str">
        <f t="shared" si="10"/>
        <v>N</v>
      </c>
      <c r="V10" s="1" t="str">
        <f t="shared" si="11"/>
        <v>N</v>
      </c>
      <c r="Y10" s="1" t="str">
        <f t="shared" si="13"/>
        <v>N</v>
      </c>
      <c r="Z10" s="1" t="str">
        <f t="shared" si="14"/>
        <v>N</v>
      </c>
      <c r="AA10" s="1" t="str">
        <f t="shared" si="15"/>
        <v>N</v>
      </c>
      <c r="AB10" s="1" t="str">
        <f t="shared" si="16"/>
        <v>N</v>
      </c>
      <c r="AC10" s="1" t="str">
        <f t="shared" si="17"/>
        <v>N</v>
      </c>
      <c r="AD10" s="1" t="str">
        <f t="shared" si="18"/>
        <v>N</v>
      </c>
      <c r="AE10" s="1" t="str">
        <f t="shared" si="19"/>
        <v>N</v>
      </c>
      <c r="AF10" s="1" t="str">
        <f t="shared" si="20"/>
        <v>N</v>
      </c>
      <c r="AG10" s="1" t="str">
        <f t="shared" si="21"/>
        <v>N</v>
      </c>
      <c r="AH10" s="1" t="str">
        <f t="shared" si="22"/>
        <v>N</v>
      </c>
    </row>
    <row r="11" spans="1:34" x14ac:dyDescent="0.3">
      <c r="A11" s="1" t="s">
        <v>179</v>
      </c>
      <c r="B11" s="1" t="s">
        <v>69</v>
      </c>
      <c r="C11" s="7" t="s">
        <v>361</v>
      </c>
      <c r="D11" s="7" t="s">
        <v>362</v>
      </c>
      <c r="E11" s="7">
        <v>18.2630936177971</v>
      </c>
      <c r="F11" s="7" t="s">
        <v>363</v>
      </c>
      <c r="G11" s="7">
        <v>69.490180192701004</v>
      </c>
      <c r="H11" s="7" t="s">
        <v>364</v>
      </c>
      <c r="I11" s="7" t="s">
        <v>365</v>
      </c>
      <c r="J11" s="7" t="s">
        <v>366</v>
      </c>
      <c r="K11" s="7">
        <v>8.6699304114157592</v>
      </c>
      <c r="M11" s="1" t="str">
        <f t="shared" si="2"/>
        <v>N</v>
      </c>
      <c r="N11" s="1" t="str">
        <f t="shared" si="3"/>
        <v>N</v>
      </c>
      <c r="O11" s="1" t="str">
        <f t="shared" si="4"/>
        <v>N</v>
      </c>
      <c r="P11" s="1" t="str">
        <f t="shared" si="5"/>
        <v>N</v>
      </c>
      <c r="Q11" s="1" t="str">
        <f t="shared" si="6"/>
        <v>Y</v>
      </c>
      <c r="R11" s="1" t="str">
        <f t="shared" si="7"/>
        <v>N</v>
      </c>
      <c r="S11" s="1" t="str">
        <f t="shared" si="8"/>
        <v>N</v>
      </c>
      <c r="T11" s="1" t="str">
        <f t="shared" si="9"/>
        <v>N</v>
      </c>
      <c r="U11" s="1" t="str">
        <f t="shared" si="10"/>
        <v>N</v>
      </c>
      <c r="V11" s="1" t="str">
        <f t="shared" si="11"/>
        <v>N</v>
      </c>
      <c r="Y11" s="1" t="str">
        <f t="shared" si="13"/>
        <v>N</v>
      </c>
      <c r="Z11" s="1" t="str">
        <f t="shared" si="14"/>
        <v>N</v>
      </c>
      <c r="AA11" s="1" t="str">
        <f t="shared" si="15"/>
        <v>N</v>
      </c>
      <c r="AB11" s="1" t="str">
        <f t="shared" si="16"/>
        <v>N</v>
      </c>
      <c r="AC11" s="1" t="str">
        <f t="shared" si="17"/>
        <v>N</v>
      </c>
      <c r="AD11" s="1" t="str">
        <f t="shared" si="18"/>
        <v>N</v>
      </c>
      <c r="AE11" s="1" t="str">
        <f t="shared" si="19"/>
        <v>N</v>
      </c>
      <c r="AF11" s="1" t="str">
        <f t="shared" si="20"/>
        <v>N</v>
      </c>
      <c r="AG11" s="1" t="str">
        <f t="shared" si="21"/>
        <v>N</v>
      </c>
      <c r="AH11" s="1" t="str">
        <f t="shared" si="22"/>
        <v>N</v>
      </c>
    </row>
    <row r="12" spans="1:34" x14ac:dyDescent="0.3">
      <c r="A12" s="1" t="s">
        <v>180</v>
      </c>
      <c r="B12" s="1" t="s">
        <v>70</v>
      </c>
      <c r="C12" s="7" t="s">
        <v>361</v>
      </c>
      <c r="D12" s="7" t="s">
        <v>362</v>
      </c>
      <c r="E12" s="7">
        <v>10.8116212361629</v>
      </c>
      <c r="F12" s="7" t="s">
        <v>363</v>
      </c>
      <c r="G12" s="7" t="s">
        <v>368</v>
      </c>
      <c r="H12" s="7" t="s">
        <v>364</v>
      </c>
      <c r="I12" s="7" t="s">
        <v>365</v>
      </c>
      <c r="J12" s="7" t="s">
        <v>366</v>
      </c>
      <c r="K12" s="7" t="s">
        <v>367</v>
      </c>
      <c r="M12" s="1" t="str">
        <f t="shared" si="2"/>
        <v>N</v>
      </c>
      <c r="N12" s="1" t="str">
        <f t="shared" si="3"/>
        <v>N</v>
      </c>
      <c r="O12" s="1" t="str">
        <f t="shared" si="4"/>
        <v>N</v>
      </c>
      <c r="P12" s="1" t="str">
        <f t="shared" si="5"/>
        <v>N</v>
      </c>
      <c r="Q12" s="1" t="str">
        <f t="shared" si="6"/>
        <v>N</v>
      </c>
      <c r="R12" s="1" t="str">
        <f t="shared" si="7"/>
        <v>N</v>
      </c>
      <c r="S12" s="1" t="str">
        <f t="shared" si="8"/>
        <v>N</v>
      </c>
      <c r="T12" s="1" t="str">
        <f t="shared" si="9"/>
        <v>N</v>
      </c>
      <c r="U12" s="1" t="str">
        <f t="shared" si="10"/>
        <v>N</v>
      </c>
      <c r="V12" s="1" t="str">
        <f t="shared" si="11"/>
        <v>N</v>
      </c>
      <c r="Y12" s="1" t="str">
        <f t="shared" si="13"/>
        <v>N</v>
      </c>
      <c r="Z12" s="1" t="str">
        <f t="shared" si="14"/>
        <v>N</v>
      </c>
      <c r="AA12" s="1" t="str">
        <f t="shared" si="15"/>
        <v>N</v>
      </c>
      <c r="AB12" s="1" t="str">
        <f t="shared" si="16"/>
        <v>N</v>
      </c>
      <c r="AC12" s="1" t="str">
        <f t="shared" si="17"/>
        <v>N</v>
      </c>
      <c r="AD12" s="1" t="str">
        <f t="shared" si="18"/>
        <v>N</v>
      </c>
      <c r="AE12" s="1" t="str">
        <f t="shared" si="19"/>
        <v>N</v>
      </c>
      <c r="AF12" s="1" t="str">
        <f t="shared" si="20"/>
        <v>N</v>
      </c>
      <c r="AG12" s="1" t="str">
        <f t="shared" si="21"/>
        <v>N</v>
      </c>
      <c r="AH12" s="1" t="str">
        <f t="shared" si="22"/>
        <v>N</v>
      </c>
    </row>
    <row r="13" spans="1:34" x14ac:dyDescent="0.3">
      <c r="A13" s="1" t="s">
        <v>181</v>
      </c>
      <c r="B13" s="1" t="s">
        <v>45</v>
      </c>
      <c r="C13" s="7" t="s">
        <v>361</v>
      </c>
      <c r="D13" s="7" t="s">
        <v>362</v>
      </c>
      <c r="E13" s="7">
        <v>83.942866776871</v>
      </c>
      <c r="F13" s="7" t="s">
        <v>363</v>
      </c>
      <c r="G13" s="7">
        <v>22.515251778372601</v>
      </c>
      <c r="H13" s="7" t="s">
        <v>364</v>
      </c>
      <c r="I13" s="7" t="s">
        <v>365</v>
      </c>
      <c r="J13" s="7" t="s">
        <v>366</v>
      </c>
      <c r="K13" s="7" t="s">
        <v>367</v>
      </c>
      <c r="M13" s="1" t="str">
        <f t="shared" si="2"/>
        <v>N</v>
      </c>
      <c r="N13" s="1" t="str">
        <f t="shared" si="3"/>
        <v>N</v>
      </c>
      <c r="O13" s="1" t="str">
        <f t="shared" si="4"/>
        <v>N</v>
      </c>
      <c r="P13" s="1" t="str">
        <f t="shared" si="5"/>
        <v>N</v>
      </c>
      <c r="Q13" s="1" t="str">
        <f t="shared" si="6"/>
        <v>N</v>
      </c>
      <c r="R13" s="1" t="str">
        <f t="shared" si="7"/>
        <v>N</v>
      </c>
      <c r="S13" s="1" t="str">
        <f t="shared" si="8"/>
        <v>N</v>
      </c>
      <c r="T13" s="1" t="str">
        <f t="shared" si="9"/>
        <v>N</v>
      </c>
      <c r="U13" s="1" t="str">
        <f t="shared" si="10"/>
        <v>N</v>
      </c>
      <c r="V13" s="1" t="str">
        <f t="shared" si="11"/>
        <v>N</v>
      </c>
      <c r="Y13" s="1" t="str">
        <f t="shared" si="13"/>
        <v>N</v>
      </c>
      <c r="Z13" s="1" t="str">
        <f t="shared" si="14"/>
        <v>N</v>
      </c>
      <c r="AA13" s="1" t="str">
        <f t="shared" si="15"/>
        <v>N</v>
      </c>
      <c r="AB13" s="1" t="str">
        <f t="shared" si="16"/>
        <v>N</v>
      </c>
      <c r="AC13" s="1" t="str">
        <f t="shared" si="17"/>
        <v>N</v>
      </c>
      <c r="AD13" s="1" t="str">
        <f t="shared" si="18"/>
        <v>N</v>
      </c>
      <c r="AE13" s="1" t="str">
        <f t="shared" si="19"/>
        <v>N</v>
      </c>
      <c r="AF13" s="1" t="str">
        <f t="shared" si="20"/>
        <v>N</v>
      </c>
      <c r="AG13" s="1" t="str">
        <f t="shared" si="21"/>
        <v>N</v>
      </c>
      <c r="AH13" s="1" t="str">
        <f t="shared" si="22"/>
        <v>N</v>
      </c>
    </row>
    <row r="14" spans="1:34" x14ac:dyDescent="0.3">
      <c r="A14" s="1" t="s">
        <v>182</v>
      </c>
      <c r="B14" s="1" t="s">
        <v>38</v>
      </c>
      <c r="C14" s="7" t="s">
        <v>361</v>
      </c>
      <c r="D14" s="7" t="s">
        <v>362</v>
      </c>
      <c r="E14" s="7">
        <v>34.931087617816601</v>
      </c>
      <c r="F14" s="7" t="s">
        <v>363</v>
      </c>
      <c r="G14" s="7" t="s">
        <v>368</v>
      </c>
      <c r="H14" s="7" t="s">
        <v>364</v>
      </c>
      <c r="I14" s="7">
        <v>12.261359167705001</v>
      </c>
      <c r="J14" s="7" t="s">
        <v>366</v>
      </c>
      <c r="K14" s="7" t="s">
        <v>367</v>
      </c>
      <c r="M14" s="1" t="str">
        <f t="shared" si="2"/>
        <v>N</v>
      </c>
      <c r="N14" s="1" t="str">
        <f t="shared" si="3"/>
        <v>N</v>
      </c>
      <c r="O14" s="1" t="str">
        <f t="shared" si="4"/>
        <v>N</v>
      </c>
      <c r="P14" s="1" t="str">
        <f t="shared" si="5"/>
        <v>N</v>
      </c>
      <c r="Q14" s="1" t="str">
        <f t="shared" si="6"/>
        <v>N</v>
      </c>
      <c r="R14" s="1" t="str">
        <f t="shared" si="7"/>
        <v>N</v>
      </c>
      <c r="S14" s="1" t="str">
        <f t="shared" si="8"/>
        <v>N</v>
      </c>
      <c r="T14" s="1" t="str">
        <f t="shared" si="9"/>
        <v>N</v>
      </c>
      <c r="U14" s="1" t="str">
        <f t="shared" si="10"/>
        <v>N</v>
      </c>
      <c r="V14" s="1" t="str">
        <f t="shared" si="11"/>
        <v>N</v>
      </c>
      <c r="Y14" s="1" t="str">
        <f t="shared" si="13"/>
        <v>N</v>
      </c>
      <c r="Z14" s="1" t="str">
        <f t="shared" si="14"/>
        <v>N</v>
      </c>
      <c r="AA14" s="1" t="str">
        <f t="shared" si="15"/>
        <v>N</v>
      </c>
      <c r="AB14" s="1" t="str">
        <f t="shared" si="16"/>
        <v>N</v>
      </c>
      <c r="AC14" s="1" t="str">
        <f t="shared" si="17"/>
        <v>N</v>
      </c>
      <c r="AD14" s="1" t="str">
        <f t="shared" si="18"/>
        <v>N</v>
      </c>
      <c r="AE14" s="1" t="str">
        <f t="shared" si="19"/>
        <v>N</v>
      </c>
      <c r="AF14" s="1" t="str">
        <f t="shared" si="20"/>
        <v>N</v>
      </c>
      <c r="AG14" s="1" t="str">
        <f t="shared" si="21"/>
        <v>N</v>
      </c>
      <c r="AH14" s="1" t="str">
        <f t="shared" si="22"/>
        <v>N</v>
      </c>
    </row>
    <row r="15" spans="1:34" x14ac:dyDescent="0.3">
      <c r="A15" s="1" t="s">
        <v>183</v>
      </c>
      <c r="B15" s="2" t="s">
        <v>346</v>
      </c>
      <c r="C15" s="7" t="s">
        <v>361</v>
      </c>
      <c r="D15" s="7" t="s">
        <v>362</v>
      </c>
      <c r="E15" s="7">
        <v>66.684252070326593</v>
      </c>
      <c r="F15" s="7" t="s">
        <v>363</v>
      </c>
      <c r="G15" s="7">
        <v>20.107622740952099</v>
      </c>
      <c r="H15" s="7" t="s">
        <v>364</v>
      </c>
      <c r="I15" s="7" t="s">
        <v>365</v>
      </c>
      <c r="J15" s="7" t="s">
        <v>366</v>
      </c>
      <c r="K15" s="7" t="s">
        <v>367</v>
      </c>
      <c r="M15" s="1" t="str">
        <f t="shared" si="2"/>
        <v>N</v>
      </c>
      <c r="N15" s="1" t="str">
        <f t="shared" si="3"/>
        <v>N</v>
      </c>
      <c r="O15" s="1" t="str">
        <f t="shared" si="4"/>
        <v>N</v>
      </c>
      <c r="P15" s="1" t="str">
        <f t="shared" si="5"/>
        <v>N</v>
      </c>
      <c r="Q15" s="1" t="str">
        <f t="shared" si="6"/>
        <v>N</v>
      </c>
      <c r="R15" s="1" t="str">
        <f t="shared" si="7"/>
        <v>N</v>
      </c>
      <c r="S15" s="1" t="str">
        <f t="shared" si="8"/>
        <v>N</v>
      </c>
      <c r="T15" s="1" t="str">
        <f t="shared" si="9"/>
        <v>N</v>
      </c>
      <c r="U15" s="1" t="str">
        <f t="shared" si="10"/>
        <v>N</v>
      </c>
      <c r="V15" s="1" t="str">
        <f t="shared" si="11"/>
        <v>N</v>
      </c>
      <c r="Y15" s="1" t="str">
        <f t="shared" si="13"/>
        <v>N</v>
      </c>
      <c r="Z15" s="1" t="str">
        <f t="shared" si="14"/>
        <v>N</v>
      </c>
      <c r="AA15" s="1" t="str">
        <f t="shared" si="15"/>
        <v>N</v>
      </c>
      <c r="AB15" s="1" t="str">
        <f t="shared" si="16"/>
        <v>N</v>
      </c>
      <c r="AC15" s="1" t="str">
        <f t="shared" si="17"/>
        <v>N</v>
      </c>
      <c r="AD15" s="1" t="str">
        <f t="shared" si="18"/>
        <v>N</v>
      </c>
      <c r="AE15" s="1" t="str">
        <f t="shared" si="19"/>
        <v>N</v>
      </c>
      <c r="AF15" s="1" t="str">
        <f t="shared" si="20"/>
        <v>N</v>
      </c>
      <c r="AG15" s="1" t="str">
        <f t="shared" si="21"/>
        <v>N</v>
      </c>
      <c r="AH15" s="1" t="str">
        <f t="shared" si="22"/>
        <v>N</v>
      </c>
    </row>
    <row r="16" spans="1:34" x14ac:dyDescent="0.3">
      <c r="A16" s="1" t="s">
        <v>184</v>
      </c>
      <c r="B16" s="1" t="s">
        <v>87</v>
      </c>
      <c r="C16" s="7" t="s">
        <v>361</v>
      </c>
      <c r="D16" s="7" t="s">
        <v>362</v>
      </c>
      <c r="E16" s="7">
        <v>33.7452480007086</v>
      </c>
      <c r="F16" s="7" t="s">
        <v>363</v>
      </c>
      <c r="G16" s="7" t="s">
        <v>368</v>
      </c>
      <c r="H16" s="7" t="s">
        <v>364</v>
      </c>
      <c r="I16" s="7" t="s">
        <v>365</v>
      </c>
      <c r="J16" s="7" t="s">
        <v>366</v>
      </c>
      <c r="K16" s="7">
        <v>13.2445772825885</v>
      </c>
      <c r="M16" s="1" t="str">
        <f t="shared" si="2"/>
        <v>N</v>
      </c>
      <c r="N16" s="1" t="str">
        <f t="shared" si="3"/>
        <v>N</v>
      </c>
      <c r="O16" s="1" t="str">
        <f t="shared" si="4"/>
        <v>N</v>
      </c>
      <c r="P16" s="1" t="str">
        <f t="shared" si="5"/>
        <v>N</v>
      </c>
      <c r="Q16" s="1" t="str">
        <f t="shared" si="6"/>
        <v>N</v>
      </c>
      <c r="R16" s="1" t="str">
        <f t="shared" si="7"/>
        <v>N</v>
      </c>
      <c r="S16" s="1" t="str">
        <f t="shared" si="8"/>
        <v>N</v>
      </c>
      <c r="T16" s="1" t="str">
        <f t="shared" si="9"/>
        <v>N</v>
      </c>
      <c r="U16" s="1" t="str">
        <f t="shared" si="10"/>
        <v>N</v>
      </c>
      <c r="V16" s="1" t="str">
        <f t="shared" si="11"/>
        <v>N</v>
      </c>
      <c r="Y16" s="1" t="str">
        <f t="shared" si="13"/>
        <v>N</v>
      </c>
      <c r="Z16" s="1" t="str">
        <f t="shared" si="14"/>
        <v>N</v>
      </c>
      <c r="AA16" s="1" t="str">
        <f t="shared" si="15"/>
        <v>N</v>
      </c>
      <c r="AB16" s="1" t="str">
        <f t="shared" si="16"/>
        <v>N</v>
      </c>
      <c r="AC16" s="1" t="str">
        <f t="shared" si="17"/>
        <v>N</v>
      </c>
      <c r="AD16" s="1" t="str">
        <f t="shared" si="18"/>
        <v>N</v>
      </c>
      <c r="AE16" s="1" t="str">
        <f t="shared" si="19"/>
        <v>N</v>
      </c>
      <c r="AF16" s="1" t="str">
        <f t="shared" si="20"/>
        <v>N</v>
      </c>
      <c r="AG16" s="1" t="str">
        <f t="shared" si="21"/>
        <v>N</v>
      </c>
      <c r="AH16" s="1" t="str">
        <f t="shared" si="22"/>
        <v>N</v>
      </c>
    </row>
    <row r="17" spans="1:34" x14ac:dyDescent="0.3">
      <c r="A17" s="1" t="s">
        <v>185</v>
      </c>
      <c r="B17" s="1" t="s">
        <v>91</v>
      </c>
      <c r="C17" s="7" t="s">
        <v>361</v>
      </c>
      <c r="D17" s="7" t="s">
        <v>362</v>
      </c>
      <c r="E17" s="7">
        <v>47.483231005711502</v>
      </c>
      <c r="F17" s="7" t="s">
        <v>363</v>
      </c>
      <c r="G17" s="7" t="s">
        <v>368</v>
      </c>
      <c r="H17" s="7" t="s">
        <v>364</v>
      </c>
      <c r="I17" s="7" t="s">
        <v>365</v>
      </c>
      <c r="J17" s="7" t="s">
        <v>366</v>
      </c>
      <c r="K17" s="7">
        <v>9.13485539241025</v>
      </c>
      <c r="M17" s="1" t="str">
        <f t="shared" si="2"/>
        <v>N</v>
      </c>
      <c r="N17" s="1" t="str">
        <f t="shared" si="3"/>
        <v>N</v>
      </c>
      <c r="O17" s="1" t="str">
        <f t="shared" si="4"/>
        <v>N</v>
      </c>
      <c r="P17" s="1" t="str">
        <f t="shared" si="5"/>
        <v>N</v>
      </c>
      <c r="Q17" s="1" t="str">
        <f t="shared" si="6"/>
        <v>N</v>
      </c>
      <c r="R17" s="1" t="str">
        <f t="shared" si="7"/>
        <v>N</v>
      </c>
      <c r="S17" s="1" t="str">
        <f t="shared" si="8"/>
        <v>N</v>
      </c>
      <c r="T17" s="1" t="str">
        <f t="shared" si="9"/>
        <v>N</v>
      </c>
      <c r="U17" s="1" t="str">
        <f t="shared" si="10"/>
        <v>N</v>
      </c>
      <c r="V17" s="1" t="str">
        <f t="shared" si="11"/>
        <v>N</v>
      </c>
      <c r="Y17" s="1" t="str">
        <f t="shared" si="13"/>
        <v>N</v>
      </c>
      <c r="Z17" s="1" t="str">
        <f t="shared" si="14"/>
        <v>N</v>
      </c>
      <c r="AA17" s="1" t="str">
        <f t="shared" si="15"/>
        <v>N</v>
      </c>
      <c r="AB17" s="1" t="str">
        <f t="shared" si="16"/>
        <v>N</v>
      </c>
      <c r="AC17" s="1" t="str">
        <f t="shared" si="17"/>
        <v>N</v>
      </c>
      <c r="AD17" s="1" t="str">
        <f t="shared" si="18"/>
        <v>N</v>
      </c>
      <c r="AE17" s="1" t="str">
        <f t="shared" si="19"/>
        <v>N</v>
      </c>
      <c r="AF17" s="1" t="str">
        <f t="shared" si="20"/>
        <v>N</v>
      </c>
      <c r="AG17" s="1" t="str">
        <f t="shared" si="21"/>
        <v>N</v>
      </c>
      <c r="AH17" s="1" t="str">
        <f t="shared" si="22"/>
        <v>N</v>
      </c>
    </row>
    <row r="18" spans="1:34" x14ac:dyDescent="0.3">
      <c r="A18" s="1" t="s">
        <v>186</v>
      </c>
      <c r="B18" s="1" t="s">
        <v>90</v>
      </c>
      <c r="C18" s="7" t="s">
        <v>361</v>
      </c>
      <c r="D18" s="7" t="s">
        <v>362</v>
      </c>
      <c r="E18" s="7">
        <v>34.470454611513901</v>
      </c>
      <c r="F18" s="7" t="s">
        <v>363</v>
      </c>
      <c r="G18" s="7" t="s">
        <v>368</v>
      </c>
      <c r="H18" s="7" t="s">
        <v>364</v>
      </c>
      <c r="I18" s="7" t="s">
        <v>365</v>
      </c>
      <c r="J18" s="7" t="s">
        <v>366</v>
      </c>
      <c r="K18" s="7" t="s">
        <v>367</v>
      </c>
      <c r="M18" s="1" t="str">
        <f t="shared" si="2"/>
        <v>N</v>
      </c>
      <c r="N18" s="1" t="str">
        <f t="shared" si="3"/>
        <v>N</v>
      </c>
      <c r="O18" s="1" t="str">
        <f t="shared" si="4"/>
        <v>N</v>
      </c>
      <c r="P18" s="1" t="str">
        <f t="shared" si="5"/>
        <v>N</v>
      </c>
      <c r="Q18" s="1" t="str">
        <f t="shared" si="6"/>
        <v>N</v>
      </c>
      <c r="R18" s="1" t="str">
        <f t="shared" si="7"/>
        <v>N</v>
      </c>
      <c r="S18" s="1" t="str">
        <f t="shared" si="8"/>
        <v>N</v>
      </c>
      <c r="T18" s="1" t="str">
        <f t="shared" si="9"/>
        <v>N</v>
      </c>
      <c r="U18" s="1" t="str">
        <f t="shared" si="10"/>
        <v>N</v>
      </c>
      <c r="V18" s="1" t="str">
        <f t="shared" si="11"/>
        <v>N</v>
      </c>
      <c r="Y18" s="1" t="str">
        <f t="shared" si="13"/>
        <v>N</v>
      </c>
      <c r="Z18" s="1" t="str">
        <f t="shared" si="14"/>
        <v>N</v>
      </c>
      <c r="AA18" s="1" t="str">
        <f t="shared" si="15"/>
        <v>N</v>
      </c>
      <c r="AB18" s="1" t="str">
        <f t="shared" si="16"/>
        <v>N</v>
      </c>
      <c r="AC18" s="1" t="str">
        <f t="shared" si="17"/>
        <v>N</v>
      </c>
      <c r="AD18" s="1" t="str">
        <f t="shared" si="18"/>
        <v>N</v>
      </c>
      <c r="AE18" s="1" t="str">
        <f t="shared" si="19"/>
        <v>N</v>
      </c>
      <c r="AF18" s="1" t="str">
        <f t="shared" si="20"/>
        <v>N</v>
      </c>
      <c r="AG18" s="1" t="str">
        <f t="shared" si="21"/>
        <v>N</v>
      </c>
      <c r="AH18" s="1" t="str">
        <f t="shared" si="22"/>
        <v>N</v>
      </c>
    </row>
    <row r="19" spans="1:34" x14ac:dyDescent="0.3">
      <c r="A19" s="1" t="s">
        <v>187</v>
      </c>
      <c r="B19" s="1" t="s">
        <v>96</v>
      </c>
      <c r="C19" s="7" t="s">
        <v>361</v>
      </c>
      <c r="D19" s="7" t="s">
        <v>362</v>
      </c>
      <c r="E19" s="7">
        <v>36.284795412695601</v>
      </c>
      <c r="F19" s="7" t="s">
        <v>363</v>
      </c>
      <c r="G19" s="7">
        <v>47.084294858961201</v>
      </c>
      <c r="H19" s="7" t="s">
        <v>364</v>
      </c>
      <c r="I19" s="7" t="s">
        <v>365</v>
      </c>
      <c r="J19" s="7" t="s">
        <v>366</v>
      </c>
      <c r="K19" s="7" t="s">
        <v>367</v>
      </c>
      <c r="M19" s="1" t="str">
        <f t="shared" si="2"/>
        <v>N</v>
      </c>
      <c r="N19" s="1" t="str">
        <f t="shared" si="3"/>
        <v>N</v>
      </c>
      <c r="O19" s="1" t="str">
        <f t="shared" si="4"/>
        <v>N</v>
      </c>
      <c r="P19" s="1" t="str">
        <f t="shared" si="5"/>
        <v>N</v>
      </c>
      <c r="Q19" s="1" t="str">
        <f t="shared" si="6"/>
        <v>N</v>
      </c>
      <c r="R19" s="1" t="str">
        <f t="shared" si="7"/>
        <v>N</v>
      </c>
      <c r="S19" s="1" t="str">
        <f t="shared" si="8"/>
        <v>N</v>
      </c>
      <c r="T19" s="1" t="str">
        <f t="shared" si="9"/>
        <v>N</v>
      </c>
      <c r="U19" s="1" t="str">
        <f t="shared" si="10"/>
        <v>N</v>
      </c>
      <c r="V19" s="1" t="str">
        <f t="shared" si="11"/>
        <v>N</v>
      </c>
      <c r="Y19" s="1" t="str">
        <f t="shared" si="13"/>
        <v>N</v>
      </c>
      <c r="Z19" s="1" t="str">
        <f t="shared" si="14"/>
        <v>N</v>
      </c>
      <c r="AA19" s="1" t="str">
        <f t="shared" si="15"/>
        <v>N</v>
      </c>
      <c r="AB19" s="1" t="str">
        <f t="shared" si="16"/>
        <v>N</v>
      </c>
      <c r="AC19" s="1" t="str">
        <f t="shared" si="17"/>
        <v>N</v>
      </c>
      <c r="AD19" s="1" t="str">
        <f t="shared" si="18"/>
        <v>N</v>
      </c>
      <c r="AE19" s="1" t="str">
        <f t="shared" si="19"/>
        <v>N</v>
      </c>
      <c r="AF19" s="1" t="str">
        <f t="shared" si="20"/>
        <v>N</v>
      </c>
      <c r="AG19" s="1" t="str">
        <f t="shared" si="21"/>
        <v>N</v>
      </c>
      <c r="AH19" s="1" t="str">
        <f t="shared" si="22"/>
        <v>N</v>
      </c>
    </row>
    <row r="20" spans="1:34" x14ac:dyDescent="0.3">
      <c r="A20" s="1" t="s">
        <v>188</v>
      </c>
      <c r="B20" s="1" t="s">
        <v>50</v>
      </c>
      <c r="C20" s="7" t="s">
        <v>361</v>
      </c>
      <c r="D20" s="7" t="s">
        <v>362</v>
      </c>
      <c r="E20" s="7">
        <v>83.998126300076294</v>
      </c>
      <c r="F20" s="7" t="s">
        <v>363</v>
      </c>
      <c r="G20" s="7">
        <v>91.530877155556993</v>
      </c>
      <c r="H20" s="7" t="s">
        <v>364</v>
      </c>
      <c r="I20" s="7" t="s">
        <v>365</v>
      </c>
      <c r="J20" s="7" t="s">
        <v>366</v>
      </c>
      <c r="K20" s="7" t="s">
        <v>367</v>
      </c>
      <c r="M20" s="1" t="str">
        <f t="shared" si="2"/>
        <v>N</v>
      </c>
      <c r="N20" s="1" t="str">
        <f t="shared" si="3"/>
        <v>N</v>
      </c>
      <c r="O20" s="1" t="str">
        <f t="shared" si="4"/>
        <v>N</v>
      </c>
      <c r="P20" s="1" t="str">
        <f t="shared" si="5"/>
        <v>N</v>
      </c>
      <c r="Q20" s="1" t="str">
        <f t="shared" si="6"/>
        <v>Y</v>
      </c>
      <c r="R20" s="1" t="str">
        <f t="shared" si="7"/>
        <v>N</v>
      </c>
      <c r="S20" s="1" t="str">
        <f t="shared" si="8"/>
        <v>N</v>
      </c>
      <c r="T20" s="1" t="str">
        <f t="shared" si="9"/>
        <v>N</v>
      </c>
      <c r="U20" s="1" t="str">
        <f t="shared" si="10"/>
        <v>N</v>
      </c>
      <c r="V20" s="1" t="str">
        <f t="shared" si="11"/>
        <v>N</v>
      </c>
      <c r="Y20" s="1" t="str">
        <f t="shared" si="13"/>
        <v>N</v>
      </c>
      <c r="Z20" s="1" t="str">
        <f t="shared" si="14"/>
        <v>N</v>
      </c>
      <c r="AA20" s="1" t="str">
        <f t="shared" si="15"/>
        <v>N</v>
      </c>
      <c r="AB20" s="1" t="str">
        <f t="shared" si="16"/>
        <v>N</v>
      </c>
      <c r="AC20" s="1" t="str">
        <f t="shared" si="17"/>
        <v>Y</v>
      </c>
      <c r="AD20" s="1" t="str">
        <f t="shared" si="18"/>
        <v>N</v>
      </c>
      <c r="AE20" s="1" t="str">
        <f t="shared" si="19"/>
        <v>N</v>
      </c>
      <c r="AF20" s="1" t="str">
        <f t="shared" si="20"/>
        <v>N</v>
      </c>
      <c r="AG20" s="1" t="str">
        <f t="shared" si="21"/>
        <v>N</v>
      </c>
      <c r="AH20" s="1" t="str">
        <f t="shared" si="22"/>
        <v>N</v>
      </c>
    </row>
    <row r="21" spans="1:34" x14ac:dyDescent="0.3">
      <c r="A21" s="1" t="s">
        <v>189</v>
      </c>
      <c r="B21" s="1" t="s">
        <v>19</v>
      </c>
      <c r="C21" s="7" t="s">
        <v>361</v>
      </c>
      <c r="D21" s="7" t="s">
        <v>362</v>
      </c>
      <c r="E21" s="7">
        <v>42.009201362897002</v>
      </c>
      <c r="F21" s="7" t="s">
        <v>363</v>
      </c>
      <c r="G21" s="7" t="s">
        <v>368</v>
      </c>
      <c r="H21" s="7" t="s">
        <v>364</v>
      </c>
      <c r="I21" s="7" t="s">
        <v>365</v>
      </c>
      <c r="J21" s="7" t="s">
        <v>366</v>
      </c>
      <c r="K21" s="7" t="s">
        <v>367</v>
      </c>
      <c r="M21" s="1" t="str">
        <f t="shared" si="2"/>
        <v>N</v>
      </c>
      <c r="N21" s="1" t="str">
        <f t="shared" si="3"/>
        <v>N</v>
      </c>
      <c r="O21" s="1" t="str">
        <f t="shared" si="4"/>
        <v>N</v>
      </c>
      <c r="P21" s="1" t="str">
        <f t="shared" si="5"/>
        <v>N</v>
      </c>
      <c r="Q21" s="1" t="str">
        <f t="shared" si="6"/>
        <v>N</v>
      </c>
      <c r="R21" s="1" t="str">
        <f t="shared" si="7"/>
        <v>N</v>
      </c>
      <c r="S21" s="1" t="str">
        <f t="shared" si="8"/>
        <v>N</v>
      </c>
      <c r="T21" s="1" t="str">
        <f t="shared" si="9"/>
        <v>N</v>
      </c>
      <c r="U21" s="1" t="str">
        <f t="shared" si="10"/>
        <v>N</v>
      </c>
      <c r="V21" s="1" t="str">
        <f t="shared" si="11"/>
        <v>N</v>
      </c>
      <c r="Y21" s="1" t="str">
        <f t="shared" si="13"/>
        <v>N</v>
      </c>
      <c r="Z21" s="1" t="str">
        <f t="shared" si="14"/>
        <v>N</v>
      </c>
      <c r="AA21" s="1" t="str">
        <f t="shared" si="15"/>
        <v>N</v>
      </c>
      <c r="AB21" s="1" t="str">
        <f t="shared" si="16"/>
        <v>N</v>
      </c>
      <c r="AC21" s="1" t="str">
        <f t="shared" si="17"/>
        <v>N</v>
      </c>
      <c r="AD21" s="1" t="str">
        <f t="shared" si="18"/>
        <v>N</v>
      </c>
      <c r="AE21" s="1" t="str">
        <f t="shared" si="19"/>
        <v>N</v>
      </c>
      <c r="AF21" s="1" t="str">
        <f t="shared" si="20"/>
        <v>N</v>
      </c>
      <c r="AG21" s="1" t="str">
        <f t="shared" si="21"/>
        <v>N</v>
      </c>
      <c r="AH21" s="1" t="str">
        <f t="shared" si="22"/>
        <v>N</v>
      </c>
    </row>
    <row r="22" spans="1:34" x14ac:dyDescent="0.3">
      <c r="A22" s="1" t="s">
        <v>190</v>
      </c>
      <c r="B22" s="1" t="s">
        <v>29</v>
      </c>
      <c r="C22" s="7" t="s">
        <v>361</v>
      </c>
      <c r="D22" s="7" t="s">
        <v>362</v>
      </c>
      <c r="E22" s="7">
        <v>85.385662559207802</v>
      </c>
      <c r="F22" s="7" t="s">
        <v>363</v>
      </c>
      <c r="G22" s="7">
        <v>14.852270138367301</v>
      </c>
      <c r="H22" s="7" t="s">
        <v>364</v>
      </c>
      <c r="I22" s="7" t="s">
        <v>365</v>
      </c>
      <c r="J22" s="7" t="s">
        <v>366</v>
      </c>
      <c r="K22" s="7" t="s">
        <v>367</v>
      </c>
      <c r="M22" s="1" t="str">
        <f t="shared" si="2"/>
        <v>N</v>
      </c>
      <c r="N22" s="1" t="str">
        <f t="shared" si="3"/>
        <v>N</v>
      </c>
      <c r="O22" s="1" t="str">
        <f t="shared" si="4"/>
        <v>N</v>
      </c>
      <c r="P22" s="1" t="str">
        <f t="shared" si="5"/>
        <v>N</v>
      </c>
      <c r="Q22" s="1" t="str">
        <f t="shared" si="6"/>
        <v>N</v>
      </c>
      <c r="R22" s="1" t="str">
        <f t="shared" si="7"/>
        <v>N</v>
      </c>
      <c r="S22" s="1" t="str">
        <f t="shared" si="8"/>
        <v>N</v>
      </c>
      <c r="T22" s="1" t="str">
        <f t="shared" si="9"/>
        <v>N</v>
      </c>
      <c r="U22" s="1" t="str">
        <f t="shared" si="10"/>
        <v>N</v>
      </c>
      <c r="V22" s="1" t="str">
        <f t="shared" si="11"/>
        <v>N</v>
      </c>
      <c r="Y22" s="1" t="str">
        <f t="shared" si="13"/>
        <v>N</v>
      </c>
      <c r="Z22" s="1" t="str">
        <f t="shared" si="14"/>
        <v>N</v>
      </c>
      <c r="AA22" s="1" t="str">
        <f t="shared" si="15"/>
        <v>N</v>
      </c>
      <c r="AB22" s="1" t="str">
        <f t="shared" si="16"/>
        <v>N</v>
      </c>
      <c r="AC22" s="1" t="str">
        <f t="shared" si="17"/>
        <v>N</v>
      </c>
      <c r="AD22" s="1" t="str">
        <f t="shared" si="18"/>
        <v>N</v>
      </c>
      <c r="AE22" s="1" t="str">
        <f t="shared" si="19"/>
        <v>N</v>
      </c>
      <c r="AF22" s="1" t="str">
        <f t="shared" si="20"/>
        <v>N</v>
      </c>
      <c r="AG22" s="1" t="str">
        <f t="shared" si="21"/>
        <v>N</v>
      </c>
      <c r="AH22" s="1" t="str">
        <f t="shared" si="22"/>
        <v>N</v>
      </c>
    </row>
    <row r="23" spans="1:34" x14ac:dyDescent="0.3">
      <c r="A23" s="1" t="s">
        <v>191</v>
      </c>
      <c r="B23" s="1" t="s">
        <v>117</v>
      </c>
      <c r="C23" s="7" t="s">
        <v>361</v>
      </c>
      <c r="D23" s="7" t="s">
        <v>362</v>
      </c>
      <c r="E23" s="7">
        <v>9.6339613395830899</v>
      </c>
      <c r="F23" s="7" t="s">
        <v>363</v>
      </c>
      <c r="G23" s="7">
        <v>9.4446738398932997</v>
      </c>
      <c r="H23" s="7" t="s">
        <v>364</v>
      </c>
      <c r="I23" s="7" t="s">
        <v>365</v>
      </c>
      <c r="J23" s="7" t="s">
        <v>366</v>
      </c>
      <c r="K23" s="7">
        <v>7.3065529577902302</v>
      </c>
      <c r="M23" s="1" t="str">
        <f t="shared" si="2"/>
        <v>N</v>
      </c>
      <c r="N23" s="1" t="str">
        <f t="shared" si="3"/>
        <v>N</v>
      </c>
      <c r="O23" s="1" t="str">
        <f t="shared" si="4"/>
        <v>N</v>
      </c>
      <c r="P23" s="1" t="str">
        <f t="shared" si="5"/>
        <v>N</v>
      </c>
      <c r="Q23" s="1" t="str">
        <f t="shared" si="6"/>
        <v>N</v>
      </c>
      <c r="R23" s="1" t="str">
        <f t="shared" si="7"/>
        <v>N</v>
      </c>
      <c r="S23" s="1" t="str">
        <f t="shared" si="8"/>
        <v>N</v>
      </c>
      <c r="T23" s="1" t="str">
        <f t="shared" si="9"/>
        <v>N</v>
      </c>
      <c r="U23" s="1" t="str">
        <f t="shared" si="10"/>
        <v>N</v>
      </c>
      <c r="V23" s="1" t="str">
        <f t="shared" si="11"/>
        <v>N</v>
      </c>
      <c r="Y23" s="1" t="str">
        <f t="shared" si="13"/>
        <v>N</v>
      </c>
      <c r="Z23" s="1" t="str">
        <f t="shared" si="14"/>
        <v>N</v>
      </c>
      <c r="AA23" s="1" t="str">
        <f t="shared" si="15"/>
        <v>N</v>
      </c>
      <c r="AB23" s="1" t="str">
        <f t="shared" si="16"/>
        <v>N</v>
      </c>
      <c r="AC23" s="1" t="str">
        <f t="shared" si="17"/>
        <v>N</v>
      </c>
      <c r="AD23" s="1" t="str">
        <f t="shared" si="18"/>
        <v>N</v>
      </c>
      <c r="AE23" s="1" t="str">
        <f t="shared" si="19"/>
        <v>N</v>
      </c>
      <c r="AF23" s="1" t="str">
        <f t="shared" si="20"/>
        <v>N</v>
      </c>
      <c r="AG23" s="1" t="str">
        <f t="shared" si="21"/>
        <v>N</v>
      </c>
      <c r="AH23" s="1" t="str">
        <f t="shared" si="22"/>
        <v>N</v>
      </c>
    </row>
    <row r="24" spans="1:34" x14ac:dyDescent="0.3">
      <c r="A24" s="1" t="s">
        <v>192</v>
      </c>
      <c r="B24" s="1" t="s">
        <v>119</v>
      </c>
      <c r="C24" s="7" t="s">
        <v>361</v>
      </c>
      <c r="D24" s="7" t="s">
        <v>362</v>
      </c>
      <c r="E24" s="7">
        <v>92.644380852911098</v>
      </c>
      <c r="F24" s="7" t="s">
        <v>363</v>
      </c>
      <c r="G24" s="7">
        <v>4.3330756853845704</v>
      </c>
      <c r="H24" s="7" t="s">
        <v>364</v>
      </c>
      <c r="I24" s="7" t="s">
        <v>365</v>
      </c>
      <c r="J24" s="7" t="s">
        <v>366</v>
      </c>
      <c r="K24" s="7">
        <v>5.4247739693317198</v>
      </c>
      <c r="M24" s="1" t="str">
        <f t="shared" si="2"/>
        <v>N</v>
      </c>
      <c r="N24" s="1" t="str">
        <f t="shared" si="3"/>
        <v>N</v>
      </c>
      <c r="O24" s="1" t="str">
        <f t="shared" si="4"/>
        <v>N</v>
      </c>
      <c r="P24" s="1" t="str">
        <f t="shared" si="5"/>
        <v>N</v>
      </c>
      <c r="Q24" s="1" t="str">
        <f t="shared" si="6"/>
        <v>N</v>
      </c>
      <c r="R24" s="1" t="str">
        <f t="shared" si="7"/>
        <v>N</v>
      </c>
      <c r="S24" s="1" t="str">
        <f t="shared" si="8"/>
        <v>N</v>
      </c>
      <c r="T24" s="1" t="str">
        <f t="shared" si="9"/>
        <v>N</v>
      </c>
      <c r="U24" s="1" t="str">
        <f t="shared" si="10"/>
        <v>N</v>
      </c>
      <c r="V24" s="1" t="str">
        <f t="shared" si="11"/>
        <v>N</v>
      </c>
      <c r="Y24" s="1" t="str">
        <f t="shared" si="13"/>
        <v>N</v>
      </c>
      <c r="Z24" s="1" t="str">
        <f t="shared" si="14"/>
        <v>N</v>
      </c>
      <c r="AA24" s="1" t="str">
        <f t="shared" si="15"/>
        <v>N</v>
      </c>
      <c r="AB24" s="1" t="str">
        <f t="shared" si="16"/>
        <v>N</v>
      </c>
      <c r="AC24" s="1" t="str">
        <f t="shared" si="17"/>
        <v>N</v>
      </c>
      <c r="AD24" s="1" t="str">
        <f t="shared" si="18"/>
        <v>N</v>
      </c>
      <c r="AE24" s="1" t="str">
        <f t="shared" si="19"/>
        <v>N</v>
      </c>
      <c r="AF24" s="1" t="str">
        <f t="shared" si="20"/>
        <v>N</v>
      </c>
      <c r="AG24" s="1" t="str">
        <f t="shared" si="21"/>
        <v>N</v>
      </c>
      <c r="AH24" s="1" t="str">
        <f t="shared" si="22"/>
        <v>N</v>
      </c>
    </row>
    <row r="25" spans="1:34" x14ac:dyDescent="0.3">
      <c r="A25" s="1" t="s">
        <v>193</v>
      </c>
      <c r="B25" s="1" t="s">
        <v>92</v>
      </c>
      <c r="C25" s="7" t="s">
        <v>361</v>
      </c>
      <c r="D25" s="7" t="s">
        <v>362</v>
      </c>
      <c r="E25" s="7">
        <v>63.7791511670384</v>
      </c>
      <c r="F25" s="7" t="s">
        <v>363</v>
      </c>
      <c r="G25" s="7">
        <v>8.5120647014116706</v>
      </c>
      <c r="H25" s="7" t="s">
        <v>364</v>
      </c>
      <c r="I25" s="7" t="s">
        <v>365</v>
      </c>
      <c r="J25" s="7" t="s">
        <v>366</v>
      </c>
      <c r="K25" s="7" t="s">
        <v>367</v>
      </c>
      <c r="M25" s="1" t="str">
        <f t="shared" si="2"/>
        <v>N</v>
      </c>
      <c r="N25" s="1" t="str">
        <f t="shared" si="3"/>
        <v>N</v>
      </c>
      <c r="O25" s="1" t="str">
        <f t="shared" si="4"/>
        <v>N</v>
      </c>
      <c r="P25" s="1" t="str">
        <f t="shared" si="5"/>
        <v>N</v>
      </c>
      <c r="Q25" s="1" t="str">
        <f t="shared" si="6"/>
        <v>N</v>
      </c>
      <c r="R25" s="1" t="str">
        <f t="shared" si="7"/>
        <v>N</v>
      </c>
      <c r="S25" s="1" t="str">
        <f t="shared" si="8"/>
        <v>N</v>
      </c>
      <c r="T25" s="1" t="str">
        <f t="shared" si="9"/>
        <v>N</v>
      </c>
      <c r="U25" s="1" t="str">
        <f t="shared" si="10"/>
        <v>N</v>
      </c>
      <c r="V25" s="1" t="str">
        <f t="shared" si="11"/>
        <v>N</v>
      </c>
      <c r="Y25" s="1" t="str">
        <f t="shared" si="13"/>
        <v>N</v>
      </c>
      <c r="Z25" s="1" t="str">
        <f t="shared" si="14"/>
        <v>N</v>
      </c>
      <c r="AA25" s="1" t="str">
        <f t="shared" si="15"/>
        <v>N</v>
      </c>
      <c r="AB25" s="1" t="str">
        <f t="shared" si="16"/>
        <v>N</v>
      </c>
      <c r="AC25" s="1" t="str">
        <f t="shared" si="17"/>
        <v>N</v>
      </c>
      <c r="AD25" s="1" t="str">
        <f t="shared" si="18"/>
        <v>N</v>
      </c>
      <c r="AE25" s="1" t="str">
        <f t="shared" si="19"/>
        <v>N</v>
      </c>
      <c r="AF25" s="1" t="str">
        <f t="shared" si="20"/>
        <v>N</v>
      </c>
      <c r="AG25" s="1" t="str">
        <f t="shared" si="21"/>
        <v>N</v>
      </c>
      <c r="AH25" s="1" t="str">
        <f t="shared" si="22"/>
        <v>N</v>
      </c>
    </row>
    <row r="26" spans="1:34" x14ac:dyDescent="0.3">
      <c r="A26" s="1" t="s">
        <v>194</v>
      </c>
      <c r="B26" s="1" t="s">
        <v>94</v>
      </c>
      <c r="C26" s="7" t="s">
        <v>361</v>
      </c>
      <c r="D26" s="7" t="s">
        <v>362</v>
      </c>
      <c r="E26" s="7">
        <v>67.191152131955207</v>
      </c>
      <c r="F26" s="7" t="s">
        <v>363</v>
      </c>
      <c r="G26" s="7">
        <v>9.4878801429206998</v>
      </c>
      <c r="H26" s="7">
        <v>44.136925227454597</v>
      </c>
      <c r="I26" s="7" t="s">
        <v>365</v>
      </c>
      <c r="J26" s="7" t="s">
        <v>366</v>
      </c>
      <c r="K26" s="7">
        <v>7.0643740878579999</v>
      </c>
      <c r="M26" s="1" t="str">
        <f t="shared" si="2"/>
        <v>N</v>
      </c>
      <c r="N26" s="1" t="str">
        <f t="shared" si="3"/>
        <v>N</v>
      </c>
      <c r="O26" s="1" t="str">
        <f t="shared" si="4"/>
        <v>N</v>
      </c>
      <c r="P26" s="1" t="str">
        <f t="shared" si="5"/>
        <v>N</v>
      </c>
      <c r="Q26" s="1" t="str">
        <f t="shared" si="6"/>
        <v>N</v>
      </c>
      <c r="R26" s="1" t="str">
        <f t="shared" si="7"/>
        <v>N</v>
      </c>
      <c r="S26" s="1" t="str">
        <f t="shared" si="8"/>
        <v>N</v>
      </c>
      <c r="T26" s="1" t="str">
        <f t="shared" si="9"/>
        <v>N</v>
      </c>
      <c r="U26" s="1" t="str">
        <f t="shared" si="10"/>
        <v>N</v>
      </c>
      <c r="V26" s="1" t="str">
        <f t="shared" si="11"/>
        <v>N</v>
      </c>
      <c r="Y26" s="1" t="str">
        <f t="shared" si="13"/>
        <v>N</v>
      </c>
      <c r="Z26" s="1" t="str">
        <f t="shared" si="14"/>
        <v>N</v>
      </c>
      <c r="AA26" s="1" t="str">
        <f t="shared" si="15"/>
        <v>N</v>
      </c>
      <c r="AB26" s="1" t="str">
        <f t="shared" si="16"/>
        <v>N</v>
      </c>
      <c r="AC26" s="1" t="str">
        <f t="shared" si="17"/>
        <v>N</v>
      </c>
      <c r="AD26" s="1" t="str">
        <f t="shared" si="18"/>
        <v>N</v>
      </c>
      <c r="AE26" s="1" t="str">
        <f t="shared" si="19"/>
        <v>N</v>
      </c>
      <c r="AF26" s="1" t="str">
        <f t="shared" si="20"/>
        <v>N</v>
      </c>
      <c r="AG26" s="1" t="str">
        <f t="shared" si="21"/>
        <v>N</v>
      </c>
      <c r="AH26" s="1" t="str">
        <f t="shared" si="22"/>
        <v>N</v>
      </c>
    </row>
    <row r="27" spans="1:34" x14ac:dyDescent="0.3">
      <c r="A27" s="1" t="s">
        <v>195</v>
      </c>
      <c r="B27" s="1" t="s">
        <v>89</v>
      </c>
      <c r="C27" s="7" t="s">
        <v>361</v>
      </c>
      <c r="D27" s="7" t="s">
        <v>362</v>
      </c>
      <c r="E27" s="7">
        <v>52.024033863355498</v>
      </c>
      <c r="F27" s="7" t="s">
        <v>363</v>
      </c>
      <c r="G27" s="7">
        <v>4.1821310317571596</v>
      </c>
      <c r="H27" s="7" t="s">
        <v>364</v>
      </c>
      <c r="I27" s="7" t="s">
        <v>365</v>
      </c>
      <c r="J27" s="7" t="s">
        <v>366</v>
      </c>
      <c r="K27" s="7" t="s">
        <v>367</v>
      </c>
      <c r="M27" s="1" t="str">
        <f t="shared" si="2"/>
        <v>N</v>
      </c>
      <c r="N27" s="1" t="str">
        <f t="shared" si="3"/>
        <v>N</v>
      </c>
      <c r="O27" s="1" t="str">
        <f t="shared" si="4"/>
        <v>N</v>
      </c>
      <c r="P27" s="1" t="str">
        <f t="shared" si="5"/>
        <v>N</v>
      </c>
      <c r="Q27" s="1" t="str">
        <f t="shared" si="6"/>
        <v>N</v>
      </c>
      <c r="R27" s="1" t="str">
        <f t="shared" si="7"/>
        <v>N</v>
      </c>
      <c r="S27" s="1" t="str">
        <f t="shared" si="8"/>
        <v>N</v>
      </c>
      <c r="T27" s="1" t="str">
        <f t="shared" si="9"/>
        <v>N</v>
      </c>
      <c r="U27" s="1" t="str">
        <f t="shared" si="10"/>
        <v>N</v>
      </c>
      <c r="V27" s="1" t="str">
        <f t="shared" si="11"/>
        <v>N</v>
      </c>
      <c r="Y27" s="1" t="str">
        <f t="shared" si="13"/>
        <v>N</v>
      </c>
      <c r="Z27" s="1" t="str">
        <f t="shared" si="14"/>
        <v>N</v>
      </c>
      <c r="AA27" s="1" t="str">
        <f t="shared" si="15"/>
        <v>N</v>
      </c>
      <c r="AB27" s="1" t="str">
        <f t="shared" si="16"/>
        <v>N</v>
      </c>
      <c r="AC27" s="1" t="str">
        <f t="shared" si="17"/>
        <v>N</v>
      </c>
      <c r="AD27" s="1" t="str">
        <f t="shared" si="18"/>
        <v>N</v>
      </c>
      <c r="AE27" s="1" t="str">
        <f t="shared" si="19"/>
        <v>N</v>
      </c>
      <c r="AF27" s="1" t="str">
        <f t="shared" si="20"/>
        <v>N</v>
      </c>
      <c r="AG27" s="1" t="str">
        <f t="shared" si="21"/>
        <v>N</v>
      </c>
      <c r="AH27" s="1" t="str">
        <f t="shared" si="22"/>
        <v>N</v>
      </c>
    </row>
    <row r="28" spans="1:34" x14ac:dyDescent="0.3">
      <c r="A28" s="1" t="s">
        <v>196</v>
      </c>
      <c r="B28" s="1" t="s">
        <v>93</v>
      </c>
      <c r="C28" s="7" t="s">
        <v>361</v>
      </c>
      <c r="D28" s="7" t="s">
        <v>362</v>
      </c>
      <c r="E28" s="7">
        <v>52.881544689481302</v>
      </c>
      <c r="F28" s="7" t="s">
        <v>363</v>
      </c>
      <c r="G28" s="7">
        <v>330.50181162633498</v>
      </c>
      <c r="H28" s="7" t="s">
        <v>364</v>
      </c>
      <c r="I28" s="7" t="s">
        <v>365</v>
      </c>
      <c r="J28" s="7" t="s">
        <v>366</v>
      </c>
      <c r="K28" s="7" t="s">
        <v>367</v>
      </c>
      <c r="M28" s="1" t="str">
        <f t="shared" si="2"/>
        <v>N</v>
      </c>
      <c r="N28" s="1" t="str">
        <f t="shared" si="3"/>
        <v>N</v>
      </c>
      <c r="O28" s="1" t="str">
        <f t="shared" si="4"/>
        <v>N</v>
      </c>
      <c r="P28" s="1" t="str">
        <f t="shared" si="5"/>
        <v>N</v>
      </c>
      <c r="Q28" s="1" t="str">
        <f t="shared" si="6"/>
        <v>Y</v>
      </c>
      <c r="R28" s="1" t="str">
        <f t="shared" si="7"/>
        <v>N</v>
      </c>
      <c r="S28" s="1" t="str">
        <f t="shared" si="8"/>
        <v>N</v>
      </c>
      <c r="T28" s="1" t="str">
        <f t="shared" si="9"/>
        <v>N</v>
      </c>
      <c r="U28" s="1" t="str">
        <f t="shared" si="10"/>
        <v>N</v>
      </c>
      <c r="V28" s="1" t="str">
        <f t="shared" si="11"/>
        <v>N</v>
      </c>
      <c r="Y28" s="1" t="str">
        <f t="shared" si="13"/>
        <v>N</v>
      </c>
      <c r="Z28" s="1" t="str">
        <f t="shared" si="14"/>
        <v>N</v>
      </c>
      <c r="AA28" s="1" t="str">
        <f t="shared" si="15"/>
        <v>N</v>
      </c>
      <c r="AB28" s="1" t="str">
        <f t="shared" si="16"/>
        <v>N</v>
      </c>
      <c r="AC28" s="1" t="str">
        <f t="shared" si="17"/>
        <v>Y</v>
      </c>
      <c r="AD28" s="1" t="str">
        <f t="shared" si="18"/>
        <v>N</v>
      </c>
      <c r="AE28" s="1" t="str">
        <f t="shared" si="19"/>
        <v>N</v>
      </c>
      <c r="AF28" s="1" t="str">
        <f t="shared" si="20"/>
        <v>N</v>
      </c>
      <c r="AG28" s="1" t="str">
        <f t="shared" si="21"/>
        <v>N</v>
      </c>
      <c r="AH28" s="1" t="str">
        <f t="shared" si="22"/>
        <v>N</v>
      </c>
    </row>
    <row r="29" spans="1:34" x14ac:dyDescent="0.3">
      <c r="A29" s="1" t="s">
        <v>197</v>
      </c>
      <c r="B29" s="1" t="s">
        <v>72</v>
      </c>
      <c r="C29" s="7" t="s">
        <v>361</v>
      </c>
      <c r="D29" s="7" t="s">
        <v>362</v>
      </c>
      <c r="E29" s="7">
        <v>17.0710931133485</v>
      </c>
      <c r="F29" s="7" t="s">
        <v>363</v>
      </c>
      <c r="G29" s="7">
        <v>36.190326567152397</v>
      </c>
      <c r="H29" s="7" t="s">
        <v>364</v>
      </c>
      <c r="I29" s="7" t="s">
        <v>365</v>
      </c>
      <c r="J29" s="7">
        <v>124.036934190845</v>
      </c>
      <c r="K29" s="7" t="s">
        <v>367</v>
      </c>
      <c r="M29" s="1" t="str">
        <f t="shared" si="2"/>
        <v>N</v>
      </c>
      <c r="N29" s="1" t="str">
        <f t="shared" si="3"/>
        <v>N</v>
      </c>
      <c r="O29" s="1" t="str">
        <f t="shared" si="4"/>
        <v>N</v>
      </c>
      <c r="P29" s="1" t="str">
        <f t="shared" si="5"/>
        <v>N</v>
      </c>
      <c r="Q29" s="1" t="str">
        <f t="shared" si="6"/>
        <v>N</v>
      </c>
      <c r="R29" s="1" t="str">
        <f t="shared" si="7"/>
        <v>N</v>
      </c>
      <c r="S29" s="1" t="str">
        <f t="shared" si="8"/>
        <v>N</v>
      </c>
      <c r="T29" s="1" t="str">
        <f t="shared" si="9"/>
        <v>N</v>
      </c>
      <c r="U29" s="1" t="str">
        <f t="shared" si="10"/>
        <v>N</v>
      </c>
      <c r="V29" s="1" t="str">
        <f t="shared" si="11"/>
        <v>N</v>
      </c>
      <c r="Y29" s="1" t="str">
        <f t="shared" si="13"/>
        <v>N</v>
      </c>
      <c r="Z29" s="1" t="str">
        <f t="shared" si="14"/>
        <v>N</v>
      </c>
      <c r="AA29" s="1" t="str">
        <f t="shared" si="15"/>
        <v>N</v>
      </c>
      <c r="AB29" s="1" t="str">
        <f t="shared" si="16"/>
        <v>N</v>
      </c>
      <c r="AC29" s="1" t="str">
        <f t="shared" si="17"/>
        <v>N</v>
      </c>
      <c r="AD29" s="1" t="str">
        <f t="shared" si="18"/>
        <v>N</v>
      </c>
      <c r="AE29" s="1" t="str">
        <f t="shared" si="19"/>
        <v>N</v>
      </c>
      <c r="AF29" s="1" t="str">
        <f t="shared" si="20"/>
        <v>N</v>
      </c>
      <c r="AG29" s="1" t="str">
        <f t="shared" si="21"/>
        <v>N</v>
      </c>
      <c r="AH29" s="1" t="str">
        <f t="shared" si="22"/>
        <v>N</v>
      </c>
    </row>
    <row r="30" spans="1:34" x14ac:dyDescent="0.3">
      <c r="A30" s="1" t="s">
        <v>198</v>
      </c>
      <c r="B30" s="1" t="s">
        <v>76</v>
      </c>
      <c r="C30" s="7" t="s">
        <v>361</v>
      </c>
      <c r="D30" s="7" t="s">
        <v>362</v>
      </c>
      <c r="E30" s="7">
        <v>104.24791198475501</v>
      </c>
      <c r="F30" s="7" t="s">
        <v>363</v>
      </c>
      <c r="G30" s="7">
        <v>63.165183229624603</v>
      </c>
      <c r="H30" s="7" t="s">
        <v>364</v>
      </c>
      <c r="I30" s="7" t="s">
        <v>365</v>
      </c>
      <c r="J30" s="7">
        <v>49.416682253644602</v>
      </c>
      <c r="K30" s="7">
        <v>16.396080189592102</v>
      </c>
      <c r="M30" s="1" t="str">
        <f t="shared" si="2"/>
        <v>N</v>
      </c>
      <c r="N30" s="1" t="str">
        <f t="shared" si="3"/>
        <v>N</v>
      </c>
      <c r="O30" s="1" t="str">
        <f t="shared" si="4"/>
        <v>N</v>
      </c>
      <c r="P30" s="1" t="str">
        <f t="shared" si="5"/>
        <v>N</v>
      </c>
      <c r="Q30" s="1" t="str">
        <f t="shared" si="6"/>
        <v>Y</v>
      </c>
      <c r="R30" s="1" t="str">
        <f t="shared" si="7"/>
        <v>N</v>
      </c>
      <c r="S30" s="1" t="str">
        <f t="shared" si="8"/>
        <v>N</v>
      </c>
      <c r="T30" s="1" t="str">
        <f t="shared" si="9"/>
        <v>Y</v>
      </c>
      <c r="U30" s="1" t="str">
        <f t="shared" si="10"/>
        <v>N</v>
      </c>
      <c r="V30" s="1" t="str">
        <f t="shared" si="11"/>
        <v>N</v>
      </c>
      <c r="Y30" s="1" t="str">
        <f t="shared" si="13"/>
        <v>N</v>
      </c>
      <c r="Z30" s="1" t="str">
        <f t="shared" si="14"/>
        <v>N</v>
      </c>
      <c r="AA30" s="1" t="str">
        <f t="shared" si="15"/>
        <v>N</v>
      </c>
      <c r="AB30" s="1" t="str">
        <f t="shared" si="16"/>
        <v>N</v>
      </c>
      <c r="AC30" s="1" t="str">
        <f t="shared" si="17"/>
        <v>N</v>
      </c>
      <c r="AD30" s="1" t="str">
        <f t="shared" si="18"/>
        <v>N</v>
      </c>
      <c r="AE30" s="1" t="str">
        <f t="shared" si="19"/>
        <v>N</v>
      </c>
      <c r="AF30" s="1" t="str">
        <f t="shared" si="20"/>
        <v>N</v>
      </c>
      <c r="AG30" s="1" t="str">
        <f t="shared" si="21"/>
        <v>N</v>
      </c>
      <c r="AH30" s="1" t="str">
        <f t="shared" si="22"/>
        <v>N</v>
      </c>
    </row>
    <row r="31" spans="1:34" x14ac:dyDescent="0.3">
      <c r="A31" s="1" t="s">
        <v>199</v>
      </c>
      <c r="B31" s="1" t="s">
        <v>80</v>
      </c>
      <c r="C31" s="7" t="s">
        <v>361</v>
      </c>
      <c r="D31" s="7" t="s">
        <v>362</v>
      </c>
      <c r="E31" s="7">
        <v>35.101392843514198</v>
      </c>
      <c r="F31" s="7" t="s">
        <v>363</v>
      </c>
      <c r="G31" s="7">
        <v>11.2572574420245</v>
      </c>
      <c r="H31" s="7" t="s">
        <v>364</v>
      </c>
      <c r="I31" s="7" t="s">
        <v>365</v>
      </c>
      <c r="J31" s="7" t="s">
        <v>366</v>
      </c>
      <c r="K31" s="7" t="s">
        <v>367</v>
      </c>
      <c r="M31" s="1" t="str">
        <f t="shared" si="2"/>
        <v>N</v>
      </c>
      <c r="N31" s="1" t="str">
        <f t="shared" si="3"/>
        <v>N</v>
      </c>
      <c r="O31" s="1" t="str">
        <f t="shared" si="4"/>
        <v>N</v>
      </c>
      <c r="P31" s="1" t="str">
        <f t="shared" si="5"/>
        <v>N</v>
      </c>
      <c r="Q31" s="1" t="str">
        <f t="shared" si="6"/>
        <v>N</v>
      </c>
      <c r="R31" s="1" t="str">
        <f t="shared" si="7"/>
        <v>N</v>
      </c>
      <c r="S31" s="1" t="str">
        <f t="shared" si="8"/>
        <v>N</v>
      </c>
      <c r="T31" s="1" t="str">
        <f t="shared" si="9"/>
        <v>N</v>
      </c>
      <c r="U31" s="1" t="str">
        <f t="shared" si="10"/>
        <v>N</v>
      </c>
      <c r="V31" s="1" t="str">
        <f t="shared" si="11"/>
        <v>N</v>
      </c>
      <c r="Y31" s="1" t="str">
        <f t="shared" si="13"/>
        <v>N</v>
      </c>
      <c r="Z31" s="1" t="str">
        <f t="shared" si="14"/>
        <v>N</v>
      </c>
      <c r="AA31" s="1" t="str">
        <f t="shared" si="15"/>
        <v>N</v>
      </c>
      <c r="AB31" s="1" t="str">
        <f t="shared" si="16"/>
        <v>N</v>
      </c>
      <c r="AC31" s="1" t="str">
        <f t="shared" si="17"/>
        <v>N</v>
      </c>
      <c r="AD31" s="1" t="str">
        <f t="shared" si="18"/>
        <v>N</v>
      </c>
      <c r="AE31" s="1" t="str">
        <f t="shared" si="19"/>
        <v>N</v>
      </c>
      <c r="AF31" s="1" t="str">
        <f t="shared" si="20"/>
        <v>N</v>
      </c>
      <c r="AG31" s="1" t="str">
        <f t="shared" si="21"/>
        <v>N</v>
      </c>
      <c r="AH31" s="1" t="str">
        <f t="shared" si="22"/>
        <v>N</v>
      </c>
    </row>
    <row r="32" spans="1:34" x14ac:dyDescent="0.3">
      <c r="A32" s="1" t="s">
        <v>200</v>
      </c>
      <c r="B32" s="1" t="s">
        <v>77</v>
      </c>
      <c r="C32" s="7" t="s">
        <v>361</v>
      </c>
      <c r="D32" s="7" t="s">
        <v>362</v>
      </c>
      <c r="E32" s="7">
        <v>64.315151344298798</v>
      </c>
      <c r="F32" s="7" t="s">
        <v>363</v>
      </c>
      <c r="G32" s="7">
        <v>16.839199557051199</v>
      </c>
      <c r="H32" s="7" t="s">
        <v>364</v>
      </c>
      <c r="I32" s="7" t="s">
        <v>365</v>
      </c>
      <c r="J32" s="7" t="s">
        <v>366</v>
      </c>
      <c r="K32" s="7" t="s">
        <v>367</v>
      </c>
      <c r="M32" s="1" t="str">
        <f t="shared" si="2"/>
        <v>N</v>
      </c>
      <c r="N32" s="1" t="str">
        <f t="shared" si="3"/>
        <v>N</v>
      </c>
      <c r="O32" s="1" t="str">
        <f t="shared" si="4"/>
        <v>N</v>
      </c>
      <c r="P32" s="1" t="str">
        <f t="shared" si="5"/>
        <v>N</v>
      </c>
      <c r="Q32" s="1" t="str">
        <f t="shared" si="6"/>
        <v>N</v>
      </c>
      <c r="R32" s="1" t="str">
        <f t="shared" si="7"/>
        <v>N</v>
      </c>
      <c r="S32" s="1" t="str">
        <f t="shared" si="8"/>
        <v>N</v>
      </c>
      <c r="T32" s="1" t="str">
        <f t="shared" si="9"/>
        <v>N</v>
      </c>
      <c r="U32" s="1" t="str">
        <f t="shared" si="10"/>
        <v>N</v>
      </c>
      <c r="V32" s="1" t="str">
        <f t="shared" si="11"/>
        <v>N</v>
      </c>
      <c r="Y32" s="1" t="str">
        <f t="shared" si="13"/>
        <v>N</v>
      </c>
      <c r="Z32" s="1" t="str">
        <f t="shared" si="14"/>
        <v>N</v>
      </c>
      <c r="AA32" s="1" t="str">
        <f t="shared" si="15"/>
        <v>N</v>
      </c>
      <c r="AB32" s="1" t="str">
        <f t="shared" si="16"/>
        <v>N</v>
      </c>
      <c r="AC32" s="1" t="str">
        <f t="shared" si="17"/>
        <v>N</v>
      </c>
      <c r="AD32" s="1" t="str">
        <f t="shared" si="18"/>
        <v>N</v>
      </c>
      <c r="AE32" s="1" t="str">
        <f t="shared" si="19"/>
        <v>N</v>
      </c>
      <c r="AF32" s="1" t="str">
        <f t="shared" si="20"/>
        <v>N</v>
      </c>
      <c r="AG32" s="1" t="str">
        <f t="shared" si="21"/>
        <v>N</v>
      </c>
      <c r="AH32" s="1" t="str">
        <f t="shared" si="22"/>
        <v>N</v>
      </c>
    </row>
    <row r="33" spans="1:34" x14ac:dyDescent="0.3">
      <c r="A33" s="1" t="s">
        <v>201</v>
      </c>
      <c r="B33" s="1" t="s">
        <v>39</v>
      </c>
      <c r="C33" s="7" t="s">
        <v>361</v>
      </c>
      <c r="D33" s="7" t="s">
        <v>362</v>
      </c>
      <c r="E33" s="7">
        <v>52.553522648517202</v>
      </c>
      <c r="F33" s="7" t="s">
        <v>363</v>
      </c>
      <c r="G33" s="7" t="s">
        <v>368</v>
      </c>
      <c r="H33" s="7" t="s">
        <v>364</v>
      </c>
      <c r="I33" s="7" t="s">
        <v>365</v>
      </c>
      <c r="J33" s="7" t="s">
        <v>366</v>
      </c>
      <c r="K33" s="7" t="s">
        <v>367</v>
      </c>
      <c r="M33" s="1" t="str">
        <f t="shared" si="2"/>
        <v>N</v>
      </c>
      <c r="N33" s="1" t="str">
        <f t="shared" si="3"/>
        <v>N</v>
      </c>
      <c r="O33" s="1" t="str">
        <f t="shared" si="4"/>
        <v>N</v>
      </c>
      <c r="P33" s="1" t="str">
        <f t="shared" si="5"/>
        <v>N</v>
      </c>
      <c r="Q33" s="1" t="str">
        <f t="shared" si="6"/>
        <v>N</v>
      </c>
      <c r="R33" s="1" t="str">
        <f t="shared" si="7"/>
        <v>N</v>
      </c>
      <c r="S33" s="1" t="str">
        <f t="shared" si="8"/>
        <v>N</v>
      </c>
      <c r="T33" s="1" t="str">
        <f t="shared" si="9"/>
        <v>N</v>
      </c>
      <c r="U33" s="1" t="str">
        <f t="shared" si="10"/>
        <v>N</v>
      </c>
      <c r="V33" s="1" t="str">
        <f t="shared" si="11"/>
        <v>N</v>
      </c>
      <c r="Y33" s="1" t="str">
        <f t="shared" si="13"/>
        <v>N</v>
      </c>
      <c r="Z33" s="1" t="str">
        <f t="shared" si="14"/>
        <v>N</v>
      </c>
      <c r="AA33" s="1" t="str">
        <f t="shared" si="15"/>
        <v>N</v>
      </c>
      <c r="AB33" s="1" t="str">
        <f t="shared" si="16"/>
        <v>N</v>
      </c>
      <c r="AC33" s="1" t="str">
        <f t="shared" si="17"/>
        <v>N</v>
      </c>
      <c r="AD33" s="1" t="str">
        <f t="shared" si="18"/>
        <v>N</v>
      </c>
      <c r="AE33" s="1" t="str">
        <f t="shared" si="19"/>
        <v>N</v>
      </c>
      <c r="AF33" s="1" t="str">
        <f t="shared" si="20"/>
        <v>N</v>
      </c>
      <c r="AG33" s="1" t="str">
        <f t="shared" si="21"/>
        <v>N</v>
      </c>
      <c r="AH33" s="1" t="str">
        <f t="shared" si="22"/>
        <v>N</v>
      </c>
    </row>
    <row r="34" spans="1:34" x14ac:dyDescent="0.3">
      <c r="A34" s="1" t="s">
        <v>202</v>
      </c>
      <c r="B34" s="1" t="s">
        <v>40</v>
      </c>
      <c r="C34" s="7" t="s">
        <v>361</v>
      </c>
      <c r="D34" s="7" t="s">
        <v>362</v>
      </c>
      <c r="E34" s="7">
        <v>52.437612080412499</v>
      </c>
      <c r="F34" s="7" t="s">
        <v>363</v>
      </c>
      <c r="G34" s="7">
        <v>6.5274991060316596</v>
      </c>
      <c r="H34" s="7" t="s">
        <v>364</v>
      </c>
      <c r="I34" s="7" t="s">
        <v>365</v>
      </c>
      <c r="J34" s="7" t="s">
        <v>366</v>
      </c>
      <c r="K34" s="7" t="s">
        <v>367</v>
      </c>
      <c r="M34" s="1" t="str">
        <f t="shared" si="2"/>
        <v>N</v>
      </c>
      <c r="N34" s="1" t="str">
        <f t="shared" si="3"/>
        <v>N</v>
      </c>
      <c r="O34" s="1" t="str">
        <f t="shared" si="4"/>
        <v>N</v>
      </c>
      <c r="P34" s="1" t="str">
        <f t="shared" si="5"/>
        <v>N</v>
      </c>
      <c r="Q34" s="1" t="str">
        <f t="shared" si="6"/>
        <v>N</v>
      </c>
      <c r="R34" s="1" t="str">
        <f t="shared" si="7"/>
        <v>N</v>
      </c>
      <c r="S34" s="1" t="str">
        <f t="shared" si="8"/>
        <v>N</v>
      </c>
      <c r="T34" s="1" t="str">
        <f t="shared" si="9"/>
        <v>N</v>
      </c>
      <c r="U34" s="1" t="str">
        <f t="shared" si="10"/>
        <v>N</v>
      </c>
      <c r="V34" s="1" t="str">
        <f t="shared" si="11"/>
        <v>N</v>
      </c>
      <c r="Y34" s="1" t="str">
        <f t="shared" si="13"/>
        <v>N</v>
      </c>
      <c r="Z34" s="1" t="str">
        <f t="shared" si="14"/>
        <v>N</v>
      </c>
      <c r="AA34" s="1" t="str">
        <f t="shared" si="15"/>
        <v>N</v>
      </c>
      <c r="AB34" s="1" t="str">
        <f t="shared" si="16"/>
        <v>N</v>
      </c>
      <c r="AC34" s="1" t="str">
        <f t="shared" si="17"/>
        <v>N</v>
      </c>
      <c r="AD34" s="1" t="str">
        <f t="shared" si="18"/>
        <v>N</v>
      </c>
      <c r="AE34" s="1" t="str">
        <f t="shared" si="19"/>
        <v>N</v>
      </c>
      <c r="AF34" s="1" t="str">
        <f t="shared" si="20"/>
        <v>N</v>
      </c>
      <c r="AG34" s="1" t="str">
        <f t="shared" si="21"/>
        <v>N</v>
      </c>
      <c r="AH34" s="1" t="str">
        <f t="shared" si="22"/>
        <v>N</v>
      </c>
    </row>
    <row r="35" spans="1:34" x14ac:dyDescent="0.3">
      <c r="A35" s="1" t="s">
        <v>203</v>
      </c>
      <c r="B35" s="1" t="s">
        <v>41</v>
      </c>
      <c r="C35" s="7" t="s">
        <v>361</v>
      </c>
      <c r="D35" s="7" t="s">
        <v>362</v>
      </c>
      <c r="E35" s="7">
        <v>29.238302403553</v>
      </c>
      <c r="F35" s="7" t="s">
        <v>363</v>
      </c>
      <c r="G35" s="7">
        <v>7.4587643759139199</v>
      </c>
      <c r="H35" s="7" t="s">
        <v>364</v>
      </c>
      <c r="I35" s="7" t="s">
        <v>365</v>
      </c>
      <c r="J35" s="7" t="s">
        <v>366</v>
      </c>
      <c r="K35" s="7" t="s">
        <v>367</v>
      </c>
      <c r="M35" s="1" t="str">
        <f t="shared" si="2"/>
        <v>N</v>
      </c>
      <c r="N35" s="1" t="str">
        <f t="shared" si="3"/>
        <v>N</v>
      </c>
      <c r="O35" s="1" t="str">
        <f t="shared" si="4"/>
        <v>N</v>
      </c>
      <c r="P35" s="1" t="str">
        <f t="shared" si="5"/>
        <v>N</v>
      </c>
      <c r="Q35" s="1" t="str">
        <f t="shared" si="6"/>
        <v>N</v>
      </c>
      <c r="R35" s="1" t="str">
        <f t="shared" si="7"/>
        <v>N</v>
      </c>
      <c r="S35" s="1" t="str">
        <f t="shared" si="8"/>
        <v>N</v>
      </c>
      <c r="T35" s="1" t="str">
        <f t="shared" si="9"/>
        <v>N</v>
      </c>
      <c r="U35" s="1" t="str">
        <f t="shared" si="10"/>
        <v>N</v>
      </c>
      <c r="V35" s="1" t="str">
        <f t="shared" si="11"/>
        <v>N</v>
      </c>
      <c r="Y35" s="1" t="str">
        <f t="shared" si="13"/>
        <v>N</v>
      </c>
      <c r="Z35" s="1" t="str">
        <f t="shared" si="14"/>
        <v>N</v>
      </c>
      <c r="AA35" s="1" t="str">
        <f t="shared" si="15"/>
        <v>N</v>
      </c>
      <c r="AB35" s="1" t="str">
        <f t="shared" si="16"/>
        <v>N</v>
      </c>
      <c r="AC35" s="1" t="str">
        <f t="shared" si="17"/>
        <v>N</v>
      </c>
      <c r="AD35" s="1" t="str">
        <f t="shared" si="18"/>
        <v>N</v>
      </c>
      <c r="AE35" s="1" t="str">
        <f t="shared" si="19"/>
        <v>N</v>
      </c>
      <c r="AF35" s="1" t="str">
        <f t="shared" si="20"/>
        <v>N</v>
      </c>
      <c r="AG35" s="1" t="str">
        <f t="shared" si="21"/>
        <v>N</v>
      </c>
      <c r="AH35" s="1" t="str">
        <f t="shared" si="22"/>
        <v>N</v>
      </c>
    </row>
    <row r="36" spans="1:34" x14ac:dyDescent="0.3">
      <c r="A36" s="1" t="s">
        <v>204</v>
      </c>
      <c r="B36" s="1" t="s">
        <v>22</v>
      </c>
      <c r="C36" s="7" t="s">
        <v>361</v>
      </c>
      <c r="D36" s="7" t="s">
        <v>362</v>
      </c>
      <c r="E36" s="7">
        <v>26.1138357544163</v>
      </c>
      <c r="F36" s="7" t="s">
        <v>363</v>
      </c>
      <c r="G36" s="7">
        <v>17.436976885936001</v>
      </c>
      <c r="H36" s="7" t="s">
        <v>364</v>
      </c>
      <c r="I36" s="7" t="s">
        <v>365</v>
      </c>
      <c r="J36" s="7" t="s">
        <v>366</v>
      </c>
      <c r="K36" s="7" t="s">
        <v>367</v>
      </c>
      <c r="M36" s="1" t="str">
        <f t="shared" si="2"/>
        <v>N</v>
      </c>
      <c r="N36" s="1" t="str">
        <f t="shared" si="3"/>
        <v>N</v>
      </c>
      <c r="O36" s="1" t="str">
        <f t="shared" si="4"/>
        <v>N</v>
      </c>
      <c r="P36" s="1" t="str">
        <f t="shared" si="5"/>
        <v>N</v>
      </c>
      <c r="Q36" s="1" t="str">
        <f t="shared" si="6"/>
        <v>N</v>
      </c>
      <c r="R36" s="1" t="str">
        <f t="shared" si="7"/>
        <v>N</v>
      </c>
      <c r="S36" s="1" t="str">
        <f t="shared" si="8"/>
        <v>N</v>
      </c>
      <c r="T36" s="1" t="str">
        <f t="shared" si="9"/>
        <v>N</v>
      </c>
      <c r="U36" s="1" t="str">
        <f t="shared" si="10"/>
        <v>N</v>
      </c>
      <c r="V36" s="1" t="str">
        <f t="shared" si="11"/>
        <v>N</v>
      </c>
      <c r="Y36" s="1" t="str">
        <f t="shared" si="13"/>
        <v>N</v>
      </c>
      <c r="Z36" s="1" t="str">
        <f t="shared" si="14"/>
        <v>N</v>
      </c>
      <c r="AA36" s="1" t="str">
        <f t="shared" si="15"/>
        <v>N</v>
      </c>
      <c r="AB36" s="1" t="str">
        <f t="shared" si="16"/>
        <v>N</v>
      </c>
      <c r="AC36" s="1" t="str">
        <f t="shared" si="17"/>
        <v>N</v>
      </c>
      <c r="AD36" s="1" t="str">
        <f t="shared" si="18"/>
        <v>N</v>
      </c>
      <c r="AE36" s="1" t="str">
        <f t="shared" si="19"/>
        <v>N</v>
      </c>
      <c r="AF36" s="1" t="str">
        <f t="shared" si="20"/>
        <v>N</v>
      </c>
      <c r="AG36" s="1" t="str">
        <f t="shared" si="21"/>
        <v>N</v>
      </c>
      <c r="AH36" s="1" t="str">
        <f t="shared" si="22"/>
        <v>N</v>
      </c>
    </row>
    <row r="37" spans="1:34" x14ac:dyDescent="0.3">
      <c r="A37" s="1" t="s">
        <v>205</v>
      </c>
      <c r="B37" s="2" t="s">
        <v>347</v>
      </c>
      <c r="C37" s="7" t="s">
        <v>361</v>
      </c>
      <c r="D37" s="7" t="s">
        <v>362</v>
      </c>
      <c r="E37" s="7">
        <v>35.274107356624903</v>
      </c>
      <c r="F37" s="7" t="s">
        <v>363</v>
      </c>
      <c r="G37" s="7">
        <v>11.277434241419799</v>
      </c>
      <c r="H37" s="7" t="s">
        <v>364</v>
      </c>
      <c r="I37" s="7" t="s">
        <v>365</v>
      </c>
      <c r="J37" s="7" t="s">
        <v>366</v>
      </c>
      <c r="K37" s="7" t="s">
        <v>367</v>
      </c>
      <c r="M37" s="1" t="str">
        <f t="shared" ref="M37:M60" si="23">IF(AND(C37&gt;M$4,ISNUMBER(C37)),"Y","N")</f>
        <v>N</v>
      </c>
      <c r="N37" s="1" t="str">
        <f t="shared" ref="N37:N60" si="24">IF(AND(D37&gt;N$4,ISNUMBER(D37)),"Y","N")</f>
        <v>N</v>
      </c>
      <c r="O37" s="1" t="str">
        <f t="shared" ref="O37:O60" si="25">IF(AND(E37&gt;O$4,ISNUMBER(E37)),"Y","N")</f>
        <v>N</v>
      </c>
      <c r="P37" s="1" t="str">
        <f t="shared" ref="P37:P60" si="26">IF(AND(F37&gt;P$4,ISNUMBER(F37)),"Y","N")</f>
        <v>N</v>
      </c>
      <c r="Q37" s="1" t="str">
        <f t="shared" ref="Q37:Q60" si="27">IF(AND(G37&gt;Q$4,ISNUMBER(G37)),"Y","N")</f>
        <v>N</v>
      </c>
      <c r="R37" s="1" t="str">
        <f t="shared" ref="R37:R60" si="28">IF(AND(H37&gt;R$4,ISNUMBER(H37)),"Y","N")</f>
        <v>N</v>
      </c>
      <c r="S37" s="1" t="str">
        <f t="shared" ref="S37:S60" si="29">IF(AND(I37&gt;S$4,ISNUMBER(I37)),"Y","N")</f>
        <v>N</v>
      </c>
      <c r="T37" s="1" t="str">
        <f t="shared" ref="T37:T60" si="30">IF(AND(J37&lt;T$4,ISNUMBER(J37)),"Y","N")</f>
        <v>N</v>
      </c>
      <c r="U37" s="1" t="str">
        <f t="shared" ref="U37:U60" si="31">IF(AND(K37&gt;U$4,ISNUMBER(K37)),"Y","N")</f>
        <v>N</v>
      </c>
      <c r="V37" s="1" t="str">
        <f t="shared" ref="V37:V60" si="32">IF(AND(L37&gt;V$4,ISNUMBER(L37)),"Y","N")</f>
        <v>N</v>
      </c>
      <c r="Y37" s="1" t="str">
        <f t="shared" si="13"/>
        <v>N</v>
      </c>
      <c r="Z37" s="1" t="str">
        <f t="shared" si="14"/>
        <v>N</v>
      </c>
      <c r="AA37" s="1" t="str">
        <f t="shared" si="15"/>
        <v>N</v>
      </c>
      <c r="AB37" s="1" t="str">
        <f t="shared" si="16"/>
        <v>N</v>
      </c>
      <c r="AC37" s="1" t="str">
        <f t="shared" si="17"/>
        <v>N</v>
      </c>
      <c r="AD37" s="1" t="str">
        <f t="shared" si="18"/>
        <v>N</v>
      </c>
      <c r="AE37" s="1" t="str">
        <f t="shared" si="19"/>
        <v>N</v>
      </c>
      <c r="AF37" s="1" t="str">
        <f t="shared" si="20"/>
        <v>N</v>
      </c>
      <c r="AG37" s="1" t="str">
        <f t="shared" si="21"/>
        <v>N</v>
      </c>
      <c r="AH37" s="1" t="str">
        <f t="shared" si="22"/>
        <v>N</v>
      </c>
    </row>
    <row r="38" spans="1:34" x14ac:dyDescent="0.3">
      <c r="A38" s="1" t="s">
        <v>206</v>
      </c>
      <c r="B38" s="1" t="s">
        <v>20</v>
      </c>
      <c r="C38" s="7" t="s">
        <v>361</v>
      </c>
      <c r="D38" s="7" t="s">
        <v>362</v>
      </c>
      <c r="E38" s="7">
        <v>36.255509801544903</v>
      </c>
      <c r="F38" s="7" t="s">
        <v>363</v>
      </c>
      <c r="G38" s="7">
        <v>14.2889718692249</v>
      </c>
      <c r="H38" s="7" t="s">
        <v>364</v>
      </c>
      <c r="I38" s="7" t="s">
        <v>365</v>
      </c>
      <c r="J38" s="7" t="s">
        <v>366</v>
      </c>
      <c r="K38" s="7" t="s">
        <v>367</v>
      </c>
      <c r="M38" s="1" t="str">
        <f t="shared" si="23"/>
        <v>N</v>
      </c>
      <c r="N38" s="1" t="str">
        <f t="shared" si="24"/>
        <v>N</v>
      </c>
      <c r="O38" s="1" t="str">
        <f t="shared" si="25"/>
        <v>N</v>
      </c>
      <c r="P38" s="1" t="str">
        <f t="shared" si="26"/>
        <v>N</v>
      </c>
      <c r="Q38" s="1" t="str">
        <f t="shared" si="27"/>
        <v>N</v>
      </c>
      <c r="R38" s="1" t="str">
        <f t="shared" si="28"/>
        <v>N</v>
      </c>
      <c r="S38" s="1" t="str">
        <f t="shared" si="29"/>
        <v>N</v>
      </c>
      <c r="T38" s="1" t="str">
        <f t="shared" si="30"/>
        <v>N</v>
      </c>
      <c r="U38" s="1" t="str">
        <f t="shared" si="31"/>
        <v>N</v>
      </c>
      <c r="V38" s="1" t="str">
        <f t="shared" si="32"/>
        <v>N</v>
      </c>
      <c r="Y38" s="1" t="str">
        <f t="shared" si="13"/>
        <v>N</v>
      </c>
      <c r="Z38" s="1" t="str">
        <f t="shared" si="14"/>
        <v>N</v>
      </c>
      <c r="AA38" s="1" t="str">
        <f t="shared" si="15"/>
        <v>N</v>
      </c>
      <c r="AB38" s="1" t="str">
        <f t="shared" si="16"/>
        <v>N</v>
      </c>
      <c r="AC38" s="1" t="str">
        <f t="shared" si="17"/>
        <v>N</v>
      </c>
      <c r="AD38" s="1" t="str">
        <f t="shared" si="18"/>
        <v>N</v>
      </c>
      <c r="AE38" s="1" t="str">
        <f t="shared" si="19"/>
        <v>N</v>
      </c>
      <c r="AF38" s="1" t="str">
        <f t="shared" si="20"/>
        <v>N</v>
      </c>
      <c r="AG38" s="1" t="str">
        <f t="shared" si="21"/>
        <v>N</v>
      </c>
      <c r="AH38" s="1" t="str">
        <f t="shared" si="22"/>
        <v>N</v>
      </c>
    </row>
    <row r="39" spans="1:34" x14ac:dyDescent="0.3">
      <c r="A39" s="1" t="s">
        <v>207</v>
      </c>
      <c r="B39" s="1" t="s">
        <v>28</v>
      </c>
      <c r="C39" s="7" t="s">
        <v>361</v>
      </c>
      <c r="D39" s="7" t="s">
        <v>362</v>
      </c>
      <c r="E39" s="7">
        <v>39.9791986136036</v>
      </c>
      <c r="F39" s="7" t="s">
        <v>363</v>
      </c>
      <c r="G39" s="7">
        <v>14.8614983894632</v>
      </c>
      <c r="H39" s="7" t="s">
        <v>364</v>
      </c>
      <c r="I39" s="7" t="s">
        <v>365</v>
      </c>
      <c r="J39" s="7" t="s">
        <v>366</v>
      </c>
      <c r="K39" s="7" t="s">
        <v>367</v>
      </c>
      <c r="M39" s="1" t="str">
        <f t="shared" si="23"/>
        <v>N</v>
      </c>
      <c r="N39" s="1" t="str">
        <f t="shared" si="24"/>
        <v>N</v>
      </c>
      <c r="O39" s="1" t="str">
        <f t="shared" si="25"/>
        <v>N</v>
      </c>
      <c r="P39" s="1" t="str">
        <f t="shared" si="26"/>
        <v>N</v>
      </c>
      <c r="Q39" s="1" t="str">
        <f t="shared" si="27"/>
        <v>N</v>
      </c>
      <c r="R39" s="1" t="str">
        <f t="shared" si="28"/>
        <v>N</v>
      </c>
      <c r="S39" s="1" t="str">
        <f t="shared" si="29"/>
        <v>N</v>
      </c>
      <c r="T39" s="1" t="str">
        <f t="shared" si="30"/>
        <v>N</v>
      </c>
      <c r="U39" s="1" t="str">
        <f t="shared" si="31"/>
        <v>N</v>
      </c>
      <c r="V39" s="1" t="str">
        <f t="shared" si="32"/>
        <v>N</v>
      </c>
      <c r="Y39" s="1" t="str">
        <f t="shared" si="13"/>
        <v>N</v>
      </c>
      <c r="Z39" s="1" t="str">
        <f t="shared" si="14"/>
        <v>N</v>
      </c>
      <c r="AA39" s="1" t="str">
        <f t="shared" si="15"/>
        <v>N</v>
      </c>
      <c r="AB39" s="1" t="str">
        <f t="shared" si="16"/>
        <v>N</v>
      </c>
      <c r="AC39" s="1" t="str">
        <f t="shared" si="17"/>
        <v>N</v>
      </c>
      <c r="AD39" s="1" t="str">
        <f t="shared" si="18"/>
        <v>N</v>
      </c>
      <c r="AE39" s="1" t="str">
        <f t="shared" si="19"/>
        <v>N</v>
      </c>
      <c r="AF39" s="1" t="str">
        <f t="shared" si="20"/>
        <v>N</v>
      </c>
      <c r="AG39" s="1" t="str">
        <f t="shared" si="21"/>
        <v>N</v>
      </c>
      <c r="AH39" s="1" t="str">
        <f t="shared" si="22"/>
        <v>N</v>
      </c>
    </row>
    <row r="40" spans="1:34" x14ac:dyDescent="0.3">
      <c r="A40" s="1" t="s">
        <v>208</v>
      </c>
      <c r="B40" s="1" t="s">
        <v>121</v>
      </c>
      <c r="C40" s="7" t="s">
        <v>361</v>
      </c>
      <c r="D40" s="7" t="s">
        <v>362</v>
      </c>
      <c r="E40" s="7">
        <v>101.684648792858</v>
      </c>
      <c r="F40" s="7" t="s">
        <v>363</v>
      </c>
      <c r="G40" s="7">
        <v>24.841078674755298</v>
      </c>
      <c r="H40" s="7" t="s">
        <v>364</v>
      </c>
      <c r="I40" s="7" t="s">
        <v>365</v>
      </c>
      <c r="J40" s="7" t="s">
        <v>366</v>
      </c>
      <c r="K40" s="7">
        <v>13.8663332912774</v>
      </c>
      <c r="M40" s="1" t="str">
        <f t="shared" si="23"/>
        <v>N</v>
      </c>
      <c r="N40" s="1" t="str">
        <f t="shared" si="24"/>
        <v>N</v>
      </c>
      <c r="O40" s="1" t="str">
        <f t="shared" si="25"/>
        <v>N</v>
      </c>
      <c r="P40" s="1" t="str">
        <f t="shared" si="26"/>
        <v>N</v>
      </c>
      <c r="Q40" s="1" t="str">
        <f t="shared" si="27"/>
        <v>N</v>
      </c>
      <c r="R40" s="1" t="str">
        <f t="shared" si="28"/>
        <v>N</v>
      </c>
      <c r="S40" s="1" t="str">
        <f t="shared" si="29"/>
        <v>N</v>
      </c>
      <c r="T40" s="1" t="str">
        <f t="shared" si="30"/>
        <v>N</v>
      </c>
      <c r="U40" s="1" t="str">
        <f t="shared" si="31"/>
        <v>N</v>
      </c>
      <c r="V40" s="1" t="str">
        <f t="shared" si="32"/>
        <v>N</v>
      </c>
      <c r="Y40" s="1" t="str">
        <f t="shared" si="13"/>
        <v>N</v>
      </c>
      <c r="Z40" s="1" t="str">
        <f t="shared" si="14"/>
        <v>N</v>
      </c>
      <c r="AA40" s="1" t="str">
        <f t="shared" si="15"/>
        <v>N</v>
      </c>
      <c r="AB40" s="1" t="str">
        <f t="shared" si="16"/>
        <v>N</v>
      </c>
      <c r="AC40" s="1" t="str">
        <f t="shared" si="17"/>
        <v>N</v>
      </c>
      <c r="AD40" s="1" t="str">
        <f t="shared" si="18"/>
        <v>N</v>
      </c>
      <c r="AE40" s="1" t="str">
        <f t="shared" si="19"/>
        <v>N</v>
      </c>
      <c r="AF40" s="1" t="str">
        <f t="shared" si="20"/>
        <v>N</v>
      </c>
      <c r="AG40" s="1" t="str">
        <f t="shared" si="21"/>
        <v>N</v>
      </c>
      <c r="AH40" s="1" t="str">
        <f t="shared" si="22"/>
        <v>N</v>
      </c>
    </row>
    <row r="41" spans="1:34" x14ac:dyDescent="0.3">
      <c r="A41" s="1" t="s">
        <v>209</v>
      </c>
      <c r="B41" s="1" t="s">
        <v>71</v>
      </c>
      <c r="C41" s="7" t="s">
        <v>361</v>
      </c>
      <c r="D41" s="7" t="s">
        <v>362</v>
      </c>
      <c r="E41" s="7">
        <v>64.653505952073502</v>
      </c>
      <c r="F41" s="7" t="s">
        <v>363</v>
      </c>
      <c r="G41" s="7" t="s">
        <v>368</v>
      </c>
      <c r="H41" s="7" t="s">
        <v>364</v>
      </c>
      <c r="I41" s="7" t="s">
        <v>365</v>
      </c>
      <c r="J41" s="7" t="s">
        <v>366</v>
      </c>
      <c r="K41" s="7" t="s">
        <v>367</v>
      </c>
      <c r="M41" s="1" t="str">
        <f t="shared" si="23"/>
        <v>N</v>
      </c>
      <c r="N41" s="1" t="str">
        <f t="shared" si="24"/>
        <v>N</v>
      </c>
      <c r="O41" s="1" t="str">
        <f t="shared" si="25"/>
        <v>N</v>
      </c>
      <c r="P41" s="1" t="str">
        <f t="shared" si="26"/>
        <v>N</v>
      </c>
      <c r="Q41" s="1" t="str">
        <f t="shared" si="27"/>
        <v>N</v>
      </c>
      <c r="R41" s="1" t="str">
        <f t="shared" si="28"/>
        <v>N</v>
      </c>
      <c r="S41" s="1" t="str">
        <f t="shared" si="29"/>
        <v>N</v>
      </c>
      <c r="T41" s="1" t="str">
        <f t="shared" si="30"/>
        <v>N</v>
      </c>
      <c r="U41" s="1" t="str">
        <f t="shared" si="31"/>
        <v>N</v>
      </c>
      <c r="V41" s="1" t="str">
        <f t="shared" si="32"/>
        <v>N</v>
      </c>
      <c r="Y41" s="1" t="str">
        <f t="shared" si="13"/>
        <v>N</v>
      </c>
      <c r="Z41" s="1" t="str">
        <f t="shared" si="14"/>
        <v>N</v>
      </c>
      <c r="AA41" s="1" t="str">
        <f t="shared" si="15"/>
        <v>N</v>
      </c>
      <c r="AB41" s="1" t="str">
        <f t="shared" si="16"/>
        <v>N</v>
      </c>
      <c r="AC41" s="1" t="str">
        <f t="shared" si="17"/>
        <v>N</v>
      </c>
      <c r="AD41" s="1" t="str">
        <f t="shared" si="18"/>
        <v>N</v>
      </c>
      <c r="AE41" s="1" t="str">
        <f t="shared" si="19"/>
        <v>N</v>
      </c>
      <c r="AF41" s="1" t="str">
        <f t="shared" si="20"/>
        <v>N</v>
      </c>
      <c r="AG41" s="1" t="str">
        <f t="shared" si="21"/>
        <v>N</v>
      </c>
      <c r="AH41" s="1" t="str">
        <f t="shared" si="22"/>
        <v>N</v>
      </c>
    </row>
    <row r="42" spans="1:34" x14ac:dyDescent="0.3">
      <c r="A42" s="1" t="s">
        <v>210</v>
      </c>
      <c r="B42" s="1" t="s">
        <v>74</v>
      </c>
      <c r="C42" s="7" t="s">
        <v>361</v>
      </c>
      <c r="D42" s="7" t="s">
        <v>362</v>
      </c>
      <c r="E42" s="7">
        <v>60.581894143274397</v>
      </c>
      <c r="F42" s="7" t="s">
        <v>363</v>
      </c>
      <c r="G42" s="7">
        <v>21.2621602310839</v>
      </c>
      <c r="H42" s="7" t="s">
        <v>364</v>
      </c>
      <c r="I42" s="7" t="s">
        <v>365</v>
      </c>
      <c r="J42" s="7" t="s">
        <v>366</v>
      </c>
      <c r="K42" s="7" t="s">
        <v>367</v>
      </c>
      <c r="M42" s="1" t="str">
        <f t="shared" si="23"/>
        <v>N</v>
      </c>
      <c r="N42" s="1" t="str">
        <f t="shared" si="24"/>
        <v>N</v>
      </c>
      <c r="O42" s="1" t="str">
        <f t="shared" si="25"/>
        <v>N</v>
      </c>
      <c r="P42" s="1" t="str">
        <f t="shared" si="26"/>
        <v>N</v>
      </c>
      <c r="Q42" s="1" t="str">
        <f t="shared" si="27"/>
        <v>N</v>
      </c>
      <c r="R42" s="1" t="str">
        <f t="shared" si="28"/>
        <v>N</v>
      </c>
      <c r="S42" s="1" t="str">
        <f t="shared" si="29"/>
        <v>N</v>
      </c>
      <c r="T42" s="1" t="str">
        <f t="shared" si="30"/>
        <v>N</v>
      </c>
      <c r="U42" s="1" t="str">
        <f t="shared" si="31"/>
        <v>N</v>
      </c>
      <c r="V42" s="1" t="str">
        <f t="shared" si="32"/>
        <v>N</v>
      </c>
      <c r="Y42" s="1" t="str">
        <f t="shared" si="13"/>
        <v>N</v>
      </c>
      <c r="Z42" s="1" t="str">
        <f t="shared" si="14"/>
        <v>N</v>
      </c>
      <c r="AA42" s="1" t="str">
        <f t="shared" si="15"/>
        <v>N</v>
      </c>
      <c r="AB42" s="1" t="str">
        <f t="shared" si="16"/>
        <v>N</v>
      </c>
      <c r="AC42" s="1" t="str">
        <f t="shared" si="17"/>
        <v>N</v>
      </c>
      <c r="AD42" s="1" t="str">
        <f t="shared" si="18"/>
        <v>N</v>
      </c>
      <c r="AE42" s="1" t="str">
        <f t="shared" si="19"/>
        <v>N</v>
      </c>
      <c r="AF42" s="1" t="str">
        <f t="shared" si="20"/>
        <v>N</v>
      </c>
      <c r="AG42" s="1" t="str">
        <f t="shared" si="21"/>
        <v>N</v>
      </c>
      <c r="AH42" s="1" t="str">
        <f t="shared" si="22"/>
        <v>N</v>
      </c>
    </row>
    <row r="43" spans="1:34" x14ac:dyDescent="0.3">
      <c r="A43" s="1" t="s">
        <v>211</v>
      </c>
      <c r="B43" s="1" t="s">
        <v>68</v>
      </c>
      <c r="C43" s="7" t="s">
        <v>361</v>
      </c>
      <c r="D43" s="7" t="s">
        <v>362</v>
      </c>
      <c r="E43" s="7">
        <v>322.40427300727902</v>
      </c>
      <c r="F43" s="7" t="s">
        <v>363</v>
      </c>
      <c r="G43" s="7">
        <v>4.0663567507187501</v>
      </c>
      <c r="H43" s="7" t="s">
        <v>364</v>
      </c>
      <c r="I43" s="7" t="s">
        <v>365</v>
      </c>
      <c r="J43" s="7" t="s">
        <v>366</v>
      </c>
      <c r="K43" s="7" t="s">
        <v>367</v>
      </c>
      <c r="M43" s="1" t="str">
        <f t="shared" si="23"/>
        <v>N</v>
      </c>
      <c r="N43" s="1" t="str">
        <f t="shared" si="24"/>
        <v>N</v>
      </c>
      <c r="O43" s="1" t="str">
        <f t="shared" si="25"/>
        <v>N</v>
      </c>
      <c r="P43" s="1" t="str">
        <f t="shared" si="26"/>
        <v>N</v>
      </c>
      <c r="Q43" s="1" t="str">
        <f t="shared" si="27"/>
        <v>N</v>
      </c>
      <c r="R43" s="1" t="str">
        <f t="shared" si="28"/>
        <v>N</v>
      </c>
      <c r="S43" s="1" t="str">
        <f t="shared" si="29"/>
        <v>N</v>
      </c>
      <c r="T43" s="1" t="str">
        <f t="shared" si="30"/>
        <v>N</v>
      </c>
      <c r="U43" s="1" t="str">
        <f t="shared" si="31"/>
        <v>N</v>
      </c>
      <c r="V43" s="1" t="str">
        <f t="shared" si="32"/>
        <v>N</v>
      </c>
      <c r="Y43" s="1" t="str">
        <f t="shared" si="13"/>
        <v>N</v>
      </c>
      <c r="Z43" s="1" t="str">
        <f t="shared" si="14"/>
        <v>N</v>
      </c>
      <c r="AA43" s="1" t="str">
        <f t="shared" si="15"/>
        <v>N</v>
      </c>
      <c r="AB43" s="1" t="str">
        <f t="shared" si="16"/>
        <v>N</v>
      </c>
      <c r="AC43" s="1" t="str">
        <f t="shared" si="17"/>
        <v>N</v>
      </c>
      <c r="AD43" s="1" t="str">
        <f t="shared" si="18"/>
        <v>N</v>
      </c>
      <c r="AE43" s="1" t="str">
        <f t="shared" si="19"/>
        <v>N</v>
      </c>
      <c r="AF43" s="1" t="str">
        <f t="shared" si="20"/>
        <v>N</v>
      </c>
      <c r="AG43" s="1" t="str">
        <f t="shared" si="21"/>
        <v>N</v>
      </c>
      <c r="AH43" s="1" t="str">
        <f t="shared" si="22"/>
        <v>N</v>
      </c>
    </row>
    <row r="44" spans="1:34" x14ac:dyDescent="0.3">
      <c r="A44" s="1" t="s">
        <v>212</v>
      </c>
      <c r="B44" s="1" t="s">
        <v>78</v>
      </c>
      <c r="C44" s="7" t="s">
        <v>361</v>
      </c>
      <c r="D44" s="7" t="s">
        <v>362</v>
      </c>
      <c r="E44" s="7">
        <v>85.994000963961099</v>
      </c>
      <c r="F44" s="7" t="s">
        <v>363</v>
      </c>
      <c r="G44" s="7">
        <v>20.6017954012441</v>
      </c>
      <c r="H44" s="7" t="s">
        <v>364</v>
      </c>
      <c r="I44" s="7" t="s">
        <v>365</v>
      </c>
      <c r="J44" s="7" t="s">
        <v>366</v>
      </c>
      <c r="K44" s="7" t="s">
        <v>367</v>
      </c>
      <c r="M44" s="1" t="str">
        <f t="shared" si="23"/>
        <v>N</v>
      </c>
      <c r="N44" s="1" t="str">
        <f t="shared" si="24"/>
        <v>N</v>
      </c>
      <c r="O44" s="1" t="str">
        <f t="shared" si="25"/>
        <v>N</v>
      </c>
      <c r="P44" s="1" t="str">
        <f t="shared" si="26"/>
        <v>N</v>
      </c>
      <c r="Q44" s="1" t="str">
        <f t="shared" si="27"/>
        <v>N</v>
      </c>
      <c r="R44" s="1" t="str">
        <f t="shared" si="28"/>
        <v>N</v>
      </c>
      <c r="S44" s="1" t="str">
        <f t="shared" si="29"/>
        <v>N</v>
      </c>
      <c r="T44" s="1" t="str">
        <f t="shared" si="30"/>
        <v>N</v>
      </c>
      <c r="U44" s="1" t="str">
        <f t="shared" si="31"/>
        <v>N</v>
      </c>
      <c r="V44" s="1" t="str">
        <f t="shared" si="32"/>
        <v>N</v>
      </c>
      <c r="Y44" s="1" t="str">
        <f t="shared" si="13"/>
        <v>N</v>
      </c>
      <c r="Z44" s="1" t="str">
        <f t="shared" si="14"/>
        <v>N</v>
      </c>
      <c r="AA44" s="1" t="str">
        <f t="shared" si="15"/>
        <v>N</v>
      </c>
      <c r="AB44" s="1" t="str">
        <f t="shared" si="16"/>
        <v>N</v>
      </c>
      <c r="AC44" s="1" t="str">
        <f t="shared" si="17"/>
        <v>N</v>
      </c>
      <c r="AD44" s="1" t="str">
        <f t="shared" si="18"/>
        <v>N</v>
      </c>
      <c r="AE44" s="1" t="str">
        <f t="shared" si="19"/>
        <v>N</v>
      </c>
      <c r="AF44" s="1" t="str">
        <f t="shared" si="20"/>
        <v>N</v>
      </c>
      <c r="AG44" s="1" t="str">
        <f t="shared" si="21"/>
        <v>N</v>
      </c>
      <c r="AH44" s="1" t="str">
        <f t="shared" si="22"/>
        <v>N</v>
      </c>
    </row>
    <row r="45" spans="1:34" x14ac:dyDescent="0.3">
      <c r="A45" s="1" t="s">
        <v>213</v>
      </c>
      <c r="B45" s="1" t="s">
        <v>42</v>
      </c>
      <c r="C45" s="7" t="s">
        <v>361</v>
      </c>
      <c r="D45" s="7" t="s">
        <v>362</v>
      </c>
      <c r="E45" s="7">
        <v>6.3827107931283296</v>
      </c>
      <c r="F45" s="7" t="s">
        <v>363</v>
      </c>
      <c r="G45" s="7" t="s">
        <v>368</v>
      </c>
      <c r="H45" s="7" t="s">
        <v>364</v>
      </c>
      <c r="I45" s="7" t="s">
        <v>365</v>
      </c>
      <c r="J45" s="7" t="s">
        <v>366</v>
      </c>
      <c r="K45" s="7" t="s">
        <v>367</v>
      </c>
      <c r="M45" s="1" t="str">
        <f t="shared" si="23"/>
        <v>N</v>
      </c>
      <c r="N45" s="1" t="str">
        <f t="shared" si="24"/>
        <v>N</v>
      </c>
      <c r="O45" s="1" t="str">
        <f t="shared" si="25"/>
        <v>N</v>
      </c>
      <c r="P45" s="1" t="str">
        <f t="shared" si="26"/>
        <v>N</v>
      </c>
      <c r="Q45" s="1" t="str">
        <f t="shared" si="27"/>
        <v>N</v>
      </c>
      <c r="R45" s="1" t="str">
        <f t="shared" si="28"/>
        <v>N</v>
      </c>
      <c r="S45" s="1" t="str">
        <f t="shared" si="29"/>
        <v>N</v>
      </c>
      <c r="T45" s="1" t="str">
        <f t="shared" si="30"/>
        <v>N</v>
      </c>
      <c r="U45" s="1" t="str">
        <f t="shared" si="31"/>
        <v>N</v>
      </c>
      <c r="V45" s="1" t="str">
        <f t="shared" si="32"/>
        <v>N</v>
      </c>
      <c r="Y45" s="1" t="str">
        <f t="shared" si="13"/>
        <v>N</v>
      </c>
      <c r="Z45" s="1" t="str">
        <f t="shared" si="14"/>
        <v>N</v>
      </c>
      <c r="AA45" s="1" t="str">
        <f t="shared" si="15"/>
        <v>N</v>
      </c>
      <c r="AB45" s="1" t="str">
        <f t="shared" si="16"/>
        <v>N</v>
      </c>
      <c r="AC45" s="1" t="str">
        <f t="shared" si="17"/>
        <v>N</v>
      </c>
      <c r="AD45" s="1" t="str">
        <f t="shared" si="18"/>
        <v>N</v>
      </c>
      <c r="AE45" s="1" t="str">
        <f t="shared" si="19"/>
        <v>N</v>
      </c>
      <c r="AF45" s="1" t="str">
        <f t="shared" si="20"/>
        <v>N</v>
      </c>
      <c r="AG45" s="1" t="str">
        <f t="shared" si="21"/>
        <v>N</v>
      </c>
      <c r="AH45" s="1" t="str">
        <f t="shared" si="22"/>
        <v>N</v>
      </c>
    </row>
    <row r="46" spans="1:34" x14ac:dyDescent="0.3">
      <c r="A46" s="1" t="s">
        <v>214</v>
      </c>
      <c r="B46" s="1" t="s">
        <v>49</v>
      </c>
      <c r="C46" s="7" t="s">
        <v>361</v>
      </c>
      <c r="D46" s="7" t="s">
        <v>362</v>
      </c>
      <c r="E46" s="7">
        <v>32.818126568894598</v>
      </c>
      <c r="F46" s="7" t="s">
        <v>363</v>
      </c>
      <c r="G46" s="7">
        <v>5.5902993247404602</v>
      </c>
      <c r="H46" s="7" t="s">
        <v>364</v>
      </c>
      <c r="I46" s="7" t="s">
        <v>365</v>
      </c>
      <c r="J46" s="7" t="s">
        <v>366</v>
      </c>
      <c r="K46" s="7" t="s">
        <v>367</v>
      </c>
      <c r="M46" s="1" t="str">
        <f t="shared" si="23"/>
        <v>N</v>
      </c>
      <c r="N46" s="1" t="str">
        <f t="shared" si="24"/>
        <v>N</v>
      </c>
      <c r="O46" s="1" t="str">
        <f t="shared" si="25"/>
        <v>N</v>
      </c>
      <c r="P46" s="1" t="str">
        <f t="shared" si="26"/>
        <v>N</v>
      </c>
      <c r="Q46" s="1" t="str">
        <f t="shared" si="27"/>
        <v>N</v>
      </c>
      <c r="R46" s="1" t="str">
        <f t="shared" si="28"/>
        <v>N</v>
      </c>
      <c r="S46" s="1" t="str">
        <f t="shared" si="29"/>
        <v>N</v>
      </c>
      <c r="T46" s="1" t="str">
        <f t="shared" si="30"/>
        <v>N</v>
      </c>
      <c r="U46" s="1" t="str">
        <f t="shared" si="31"/>
        <v>N</v>
      </c>
      <c r="V46" s="1" t="str">
        <f t="shared" si="32"/>
        <v>N</v>
      </c>
      <c r="Y46" s="1" t="str">
        <f t="shared" si="13"/>
        <v>N</v>
      </c>
      <c r="Z46" s="1" t="str">
        <f t="shared" si="14"/>
        <v>N</v>
      </c>
      <c r="AA46" s="1" t="str">
        <f t="shared" si="15"/>
        <v>N</v>
      </c>
      <c r="AB46" s="1" t="str">
        <f t="shared" si="16"/>
        <v>N</v>
      </c>
      <c r="AC46" s="1" t="str">
        <f t="shared" si="17"/>
        <v>N</v>
      </c>
      <c r="AD46" s="1" t="str">
        <f t="shared" si="18"/>
        <v>N</v>
      </c>
      <c r="AE46" s="1" t="str">
        <f t="shared" si="19"/>
        <v>N</v>
      </c>
      <c r="AF46" s="1" t="str">
        <f t="shared" si="20"/>
        <v>N</v>
      </c>
      <c r="AG46" s="1" t="str">
        <f t="shared" si="21"/>
        <v>N</v>
      </c>
      <c r="AH46" s="1" t="str">
        <f t="shared" si="22"/>
        <v>N</v>
      </c>
    </row>
    <row r="47" spans="1:34" x14ac:dyDescent="0.3">
      <c r="A47" s="1" t="s">
        <v>215</v>
      </c>
      <c r="B47" s="1" t="s">
        <v>43</v>
      </c>
      <c r="C47" s="7" t="s">
        <v>361</v>
      </c>
      <c r="D47" s="7" t="s">
        <v>362</v>
      </c>
      <c r="E47" s="7" t="s">
        <v>369</v>
      </c>
      <c r="F47" s="7" t="s">
        <v>363</v>
      </c>
      <c r="G47" s="7" t="s">
        <v>368</v>
      </c>
      <c r="H47" s="7" t="s">
        <v>364</v>
      </c>
      <c r="I47" s="7" t="s">
        <v>365</v>
      </c>
      <c r="J47" s="7" t="s">
        <v>366</v>
      </c>
      <c r="K47" s="7" t="s">
        <v>367</v>
      </c>
      <c r="M47" s="1" t="str">
        <f t="shared" si="23"/>
        <v>N</v>
      </c>
      <c r="N47" s="1" t="str">
        <f t="shared" si="24"/>
        <v>N</v>
      </c>
      <c r="O47" s="1" t="str">
        <f t="shared" si="25"/>
        <v>N</v>
      </c>
      <c r="P47" s="1" t="str">
        <f t="shared" si="26"/>
        <v>N</v>
      </c>
      <c r="Q47" s="1" t="str">
        <f t="shared" si="27"/>
        <v>N</v>
      </c>
      <c r="R47" s="1" t="str">
        <f t="shared" si="28"/>
        <v>N</v>
      </c>
      <c r="S47" s="1" t="str">
        <f t="shared" si="29"/>
        <v>N</v>
      </c>
      <c r="T47" s="1" t="str">
        <f t="shared" si="30"/>
        <v>N</v>
      </c>
      <c r="U47" s="1" t="str">
        <f t="shared" si="31"/>
        <v>N</v>
      </c>
      <c r="V47" s="1" t="str">
        <f t="shared" si="32"/>
        <v>N</v>
      </c>
      <c r="Y47" s="1" t="str">
        <f t="shared" si="13"/>
        <v>N</v>
      </c>
      <c r="Z47" s="1" t="str">
        <f t="shared" si="14"/>
        <v>N</v>
      </c>
      <c r="AA47" s="1" t="str">
        <f t="shared" si="15"/>
        <v>N</v>
      </c>
      <c r="AB47" s="1" t="str">
        <f t="shared" si="16"/>
        <v>N</v>
      </c>
      <c r="AC47" s="1" t="str">
        <f t="shared" si="17"/>
        <v>N</v>
      </c>
      <c r="AD47" s="1" t="str">
        <f t="shared" si="18"/>
        <v>N</v>
      </c>
      <c r="AE47" s="1" t="str">
        <f t="shared" si="19"/>
        <v>N</v>
      </c>
      <c r="AF47" s="1" t="str">
        <f t="shared" si="20"/>
        <v>N</v>
      </c>
      <c r="AG47" s="1" t="str">
        <f t="shared" si="21"/>
        <v>N</v>
      </c>
      <c r="AH47" s="1" t="str">
        <f t="shared" si="22"/>
        <v>N</v>
      </c>
    </row>
    <row r="48" spans="1:34" x14ac:dyDescent="0.3">
      <c r="A48" s="1" t="s">
        <v>216</v>
      </c>
      <c r="B48" s="1" t="s">
        <v>44</v>
      </c>
      <c r="C48" s="7" t="s">
        <v>361</v>
      </c>
      <c r="D48" s="7" t="s">
        <v>362</v>
      </c>
      <c r="E48" s="7">
        <v>57.264244870280002</v>
      </c>
      <c r="F48" s="7" t="s">
        <v>363</v>
      </c>
      <c r="G48" s="7" t="s">
        <v>368</v>
      </c>
      <c r="H48" s="7" t="s">
        <v>364</v>
      </c>
      <c r="I48" s="7" t="s">
        <v>365</v>
      </c>
      <c r="J48" s="7" t="s">
        <v>366</v>
      </c>
      <c r="K48" s="7" t="s">
        <v>367</v>
      </c>
      <c r="M48" s="1" t="str">
        <f t="shared" si="23"/>
        <v>N</v>
      </c>
      <c r="N48" s="1" t="str">
        <f t="shared" si="24"/>
        <v>N</v>
      </c>
      <c r="O48" s="1" t="str">
        <f t="shared" si="25"/>
        <v>N</v>
      </c>
      <c r="P48" s="1" t="str">
        <f t="shared" si="26"/>
        <v>N</v>
      </c>
      <c r="Q48" s="1" t="str">
        <f t="shared" si="27"/>
        <v>N</v>
      </c>
      <c r="R48" s="1" t="str">
        <f t="shared" si="28"/>
        <v>N</v>
      </c>
      <c r="S48" s="1" t="str">
        <f t="shared" si="29"/>
        <v>N</v>
      </c>
      <c r="T48" s="1" t="str">
        <f t="shared" si="30"/>
        <v>N</v>
      </c>
      <c r="U48" s="1" t="str">
        <f t="shared" si="31"/>
        <v>N</v>
      </c>
      <c r="V48" s="1" t="str">
        <f t="shared" si="32"/>
        <v>N</v>
      </c>
      <c r="Y48" s="1" t="str">
        <f t="shared" si="13"/>
        <v>N</v>
      </c>
      <c r="Z48" s="1" t="str">
        <f t="shared" si="14"/>
        <v>N</v>
      </c>
      <c r="AA48" s="1" t="str">
        <f t="shared" si="15"/>
        <v>N</v>
      </c>
      <c r="AB48" s="1" t="str">
        <f t="shared" si="16"/>
        <v>N</v>
      </c>
      <c r="AC48" s="1" t="str">
        <f t="shared" si="17"/>
        <v>N</v>
      </c>
      <c r="AD48" s="1" t="str">
        <f t="shared" si="18"/>
        <v>N</v>
      </c>
      <c r="AE48" s="1" t="str">
        <f t="shared" si="19"/>
        <v>N</v>
      </c>
      <c r="AF48" s="1" t="str">
        <f t="shared" si="20"/>
        <v>N</v>
      </c>
      <c r="AG48" s="1" t="str">
        <f t="shared" si="21"/>
        <v>N</v>
      </c>
      <c r="AH48" s="1" t="str">
        <f t="shared" si="22"/>
        <v>N</v>
      </c>
    </row>
    <row r="49" spans="1:34" x14ac:dyDescent="0.3">
      <c r="A49" s="1" t="s">
        <v>217</v>
      </c>
      <c r="B49" s="1" t="s">
        <v>95</v>
      </c>
      <c r="C49" s="7" t="s">
        <v>361</v>
      </c>
      <c r="D49" s="7" t="s">
        <v>362</v>
      </c>
      <c r="E49" s="7">
        <v>37.557247737443902</v>
      </c>
      <c r="F49" s="7" t="s">
        <v>363</v>
      </c>
      <c r="G49" s="7">
        <v>8.5347833880689201</v>
      </c>
      <c r="H49" s="7">
        <v>85.364396953796799</v>
      </c>
      <c r="I49" s="7" t="s">
        <v>365</v>
      </c>
      <c r="J49" s="7" t="s">
        <v>366</v>
      </c>
      <c r="K49" s="7" t="s">
        <v>367</v>
      </c>
      <c r="M49" s="1" t="str">
        <f t="shared" si="23"/>
        <v>N</v>
      </c>
      <c r="N49" s="1" t="str">
        <f t="shared" si="24"/>
        <v>N</v>
      </c>
      <c r="O49" s="1" t="str">
        <f t="shared" si="25"/>
        <v>N</v>
      </c>
      <c r="P49" s="1" t="str">
        <f t="shared" si="26"/>
        <v>N</v>
      </c>
      <c r="Q49" s="1" t="str">
        <f t="shared" si="27"/>
        <v>N</v>
      </c>
      <c r="R49" s="1" t="str">
        <f t="shared" si="28"/>
        <v>N</v>
      </c>
      <c r="S49" s="1" t="str">
        <f t="shared" si="29"/>
        <v>N</v>
      </c>
      <c r="T49" s="1" t="str">
        <f t="shared" si="30"/>
        <v>N</v>
      </c>
      <c r="U49" s="1" t="str">
        <f t="shared" si="31"/>
        <v>N</v>
      </c>
      <c r="V49" s="1" t="str">
        <f t="shared" si="32"/>
        <v>N</v>
      </c>
      <c r="Y49" s="1" t="str">
        <f t="shared" si="13"/>
        <v>N</v>
      </c>
      <c r="Z49" s="1" t="str">
        <f t="shared" si="14"/>
        <v>N</v>
      </c>
      <c r="AA49" s="1" t="str">
        <f t="shared" si="15"/>
        <v>N</v>
      </c>
      <c r="AB49" s="1" t="str">
        <f t="shared" si="16"/>
        <v>N</v>
      </c>
      <c r="AC49" s="1" t="str">
        <f t="shared" si="17"/>
        <v>N</v>
      </c>
      <c r="AD49" s="1" t="str">
        <f t="shared" si="18"/>
        <v>N</v>
      </c>
      <c r="AE49" s="1" t="str">
        <f t="shared" si="19"/>
        <v>N</v>
      </c>
      <c r="AF49" s="1" t="str">
        <f t="shared" si="20"/>
        <v>N</v>
      </c>
      <c r="AG49" s="1" t="str">
        <f t="shared" si="21"/>
        <v>N</v>
      </c>
      <c r="AH49" s="1" t="str">
        <f t="shared" si="22"/>
        <v>N</v>
      </c>
    </row>
    <row r="50" spans="1:34" x14ac:dyDescent="0.3">
      <c r="A50" s="1" t="s">
        <v>218</v>
      </c>
      <c r="B50" s="1" t="s">
        <v>112</v>
      </c>
      <c r="C50" s="7" t="s">
        <v>361</v>
      </c>
      <c r="D50" s="7" t="s">
        <v>362</v>
      </c>
      <c r="E50" s="7">
        <v>6.1236944224291499</v>
      </c>
      <c r="F50" s="7" t="s">
        <v>363</v>
      </c>
      <c r="G50" s="7">
        <v>22.884182187010602</v>
      </c>
      <c r="H50" s="7" t="s">
        <v>364</v>
      </c>
      <c r="I50" s="7" t="s">
        <v>365</v>
      </c>
      <c r="J50" s="7" t="s">
        <v>366</v>
      </c>
      <c r="K50" s="7" t="s">
        <v>367</v>
      </c>
      <c r="M50" s="1" t="str">
        <f t="shared" si="23"/>
        <v>N</v>
      </c>
      <c r="N50" s="1" t="str">
        <f t="shared" si="24"/>
        <v>N</v>
      </c>
      <c r="O50" s="1" t="str">
        <f t="shared" si="25"/>
        <v>N</v>
      </c>
      <c r="P50" s="1" t="str">
        <f t="shared" si="26"/>
        <v>N</v>
      </c>
      <c r="Q50" s="1" t="str">
        <f t="shared" si="27"/>
        <v>N</v>
      </c>
      <c r="R50" s="1" t="str">
        <f t="shared" si="28"/>
        <v>N</v>
      </c>
      <c r="S50" s="1" t="str">
        <f t="shared" si="29"/>
        <v>N</v>
      </c>
      <c r="T50" s="1" t="str">
        <f t="shared" si="30"/>
        <v>N</v>
      </c>
      <c r="U50" s="1" t="str">
        <f t="shared" si="31"/>
        <v>N</v>
      </c>
      <c r="V50" s="1" t="str">
        <f t="shared" si="32"/>
        <v>N</v>
      </c>
      <c r="Y50" s="1" t="str">
        <f t="shared" si="13"/>
        <v>N</v>
      </c>
      <c r="Z50" s="1" t="str">
        <f t="shared" si="14"/>
        <v>N</v>
      </c>
      <c r="AA50" s="1" t="str">
        <f t="shared" si="15"/>
        <v>N</v>
      </c>
      <c r="AB50" s="1" t="str">
        <f t="shared" si="16"/>
        <v>N</v>
      </c>
      <c r="AC50" s="1" t="str">
        <f t="shared" si="17"/>
        <v>N</v>
      </c>
      <c r="AD50" s="1" t="str">
        <f t="shared" si="18"/>
        <v>N</v>
      </c>
      <c r="AE50" s="1" t="str">
        <f t="shared" si="19"/>
        <v>N</v>
      </c>
      <c r="AF50" s="1" t="str">
        <f t="shared" si="20"/>
        <v>N</v>
      </c>
      <c r="AG50" s="1" t="str">
        <f t="shared" si="21"/>
        <v>N</v>
      </c>
      <c r="AH50" s="1" t="str">
        <f t="shared" si="22"/>
        <v>N</v>
      </c>
    </row>
    <row r="51" spans="1:34" x14ac:dyDescent="0.3">
      <c r="A51" s="1" t="s">
        <v>219</v>
      </c>
      <c r="B51" s="1" t="s">
        <v>113</v>
      </c>
      <c r="C51" s="7" t="s">
        <v>361</v>
      </c>
      <c r="D51" s="7" t="s">
        <v>362</v>
      </c>
      <c r="E51" s="7">
        <v>28.519611454390301</v>
      </c>
      <c r="F51" s="7" t="s">
        <v>363</v>
      </c>
      <c r="G51" s="7">
        <v>109.848433722339</v>
      </c>
      <c r="H51" s="7" t="s">
        <v>364</v>
      </c>
      <c r="I51" s="7" t="s">
        <v>365</v>
      </c>
      <c r="J51" s="7" t="s">
        <v>366</v>
      </c>
      <c r="K51" s="7" t="s">
        <v>367</v>
      </c>
      <c r="M51" s="1" t="str">
        <f t="shared" si="23"/>
        <v>N</v>
      </c>
      <c r="N51" s="1" t="str">
        <f t="shared" si="24"/>
        <v>N</v>
      </c>
      <c r="O51" s="1" t="str">
        <f t="shared" si="25"/>
        <v>N</v>
      </c>
      <c r="P51" s="1" t="str">
        <f t="shared" si="26"/>
        <v>N</v>
      </c>
      <c r="Q51" s="1" t="str">
        <f t="shared" si="27"/>
        <v>Y</v>
      </c>
      <c r="R51" s="1" t="str">
        <f t="shared" si="28"/>
        <v>N</v>
      </c>
      <c r="S51" s="1" t="str">
        <f t="shared" si="29"/>
        <v>N</v>
      </c>
      <c r="T51" s="1" t="str">
        <f t="shared" si="30"/>
        <v>N</v>
      </c>
      <c r="U51" s="1" t="str">
        <f t="shared" si="31"/>
        <v>N</v>
      </c>
      <c r="V51" s="1" t="str">
        <f t="shared" si="32"/>
        <v>N</v>
      </c>
      <c r="Y51" s="1" t="str">
        <f t="shared" si="13"/>
        <v>N</v>
      </c>
      <c r="Z51" s="1" t="str">
        <f t="shared" si="14"/>
        <v>N</v>
      </c>
      <c r="AA51" s="1" t="str">
        <f t="shared" si="15"/>
        <v>N</v>
      </c>
      <c r="AB51" s="1" t="str">
        <f t="shared" si="16"/>
        <v>N</v>
      </c>
      <c r="AC51" s="1" t="str">
        <f t="shared" si="17"/>
        <v>Y</v>
      </c>
      <c r="AD51" s="1" t="str">
        <f t="shared" si="18"/>
        <v>N</v>
      </c>
      <c r="AE51" s="1" t="str">
        <f t="shared" si="19"/>
        <v>N</v>
      </c>
      <c r="AF51" s="1" t="str">
        <f t="shared" si="20"/>
        <v>N</v>
      </c>
      <c r="AG51" s="1" t="str">
        <f t="shared" si="21"/>
        <v>N</v>
      </c>
      <c r="AH51" s="1" t="str">
        <f t="shared" si="22"/>
        <v>N</v>
      </c>
    </row>
    <row r="52" spans="1:34" x14ac:dyDescent="0.3">
      <c r="A52" s="1" t="s">
        <v>220</v>
      </c>
      <c r="B52" s="1" t="s">
        <v>88</v>
      </c>
      <c r="C52" s="7" t="s">
        <v>361</v>
      </c>
      <c r="D52" s="7" t="s">
        <v>362</v>
      </c>
      <c r="E52" s="7">
        <v>30.835881814091501</v>
      </c>
      <c r="F52" s="7" t="s">
        <v>363</v>
      </c>
      <c r="G52" s="7">
        <v>82.352544228972704</v>
      </c>
      <c r="H52" s="7" t="s">
        <v>364</v>
      </c>
      <c r="I52" s="7" t="s">
        <v>365</v>
      </c>
      <c r="J52" s="7" t="s">
        <v>366</v>
      </c>
      <c r="K52" s="7" t="s">
        <v>367</v>
      </c>
      <c r="M52" s="1" t="str">
        <f t="shared" si="23"/>
        <v>N</v>
      </c>
      <c r="N52" s="1" t="str">
        <f t="shared" si="24"/>
        <v>N</v>
      </c>
      <c r="O52" s="1" t="str">
        <f t="shared" si="25"/>
        <v>N</v>
      </c>
      <c r="P52" s="1" t="str">
        <f t="shared" si="26"/>
        <v>N</v>
      </c>
      <c r="Q52" s="1" t="str">
        <f t="shared" si="27"/>
        <v>Y</v>
      </c>
      <c r="R52" s="1" t="str">
        <f t="shared" si="28"/>
        <v>N</v>
      </c>
      <c r="S52" s="1" t="str">
        <f t="shared" si="29"/>
        <v>N</v>
      </c>
      <c r="T52" s="1" t="str">
        <f t="shared" si="30"/>
        <v>N</v>
      </c>
      <c r="U52" s="1" t="str">
        <f t="shared" si="31"/>
        <v>N</v>
      </c>
      <c r="V52" s="1" t="str">
        <f t="shared" si="32"/>
        <v>N</v>
      </c>
      <c r="Y52" s="1" t="str">
        <f t="shared" si="13"/>
        <v>N</v>
      </c>
      <c r="Z52" s="1" t="str">
        <f t="shared" si="14"/>
        <v>N</v>
      </c>
      <c r="AA52" s="1" t="str">
        <f t="shared" si="15"/>
        <v>N</v>
      </c>
      <c r="AB52" s="1" t="str">
        <f t="shared" si="16"/>
        <v>N</v>
      </c>
      <c r="AC52" s="1" t="str">
        <f t="shared" si="17"/>
        <v>Y</v>
      </c>
      <c r="AD52" s="1" t="str">
        <f t="shared" si="18"/>
        <v>N</v>
      </c>
      <c r="AE52" s="1" t="str">
        <f t="shared" si="19"/>
        <v>N</v>
      </c>
      <c r="AF52" s="1" t="str">
        <f t="shared" si="20"/>
        <v>N</v>
      </c>
      <c r="AG52" s="1" t="str">
        <f t="shared" si="21"/>
        <v>N</v>
      </c>
      <c r="AH52" s="1" t="str">
        <f t="shared" si="22"/>
        <v>N</v>
      </c>
    </row>
    <row r="53" spans="1:34" x14ac:dyDescent="0.3">
      <c r="A53" s="1" t="s">
        <v>221</v>
      </c>
      <c r="B53" s="1" t="s">
        <v>97</v>
      </c>
      <c r="C53" s="7" t="s">
        <v>361</v>
      </c>
      <c r="D53" s="7" t="s">
        <v>362</v>
      </c>
      <c r="E53" s="7">
        <v>60.746812486157303</v>
      </c>
      <c r="F53" s="7" t="s">
        <v>363</v>
      </c>
      <c r="G53" s="7">
        <v>73.786757761962406</v>
      </c>
      <c r="H53" s="7" t="s">
        <v>364</v>
      </c>
      <c r="I53" s="7" t="s">
        <v>365</v>
      </c>
      <c r="J53" s="7" t="s">
        <v>366</v>
      </c>
      <c r="K53" s="7" t="s">
        <v>367</v>
      </c>
      <c r="M53" s="1" t="str">
        <f t="shared" si="23"/>
        <v>N</v>
      </c>
      <c r="N53" s="1" t="str">
        <f t="shared" si="24"/>
        <v>N</v>
      </c>
      <c r="O53" s="1" t="str">
        <f t="shared" si="25"/>
        <v>N</v>
      </c>
      <c r="P53" s="1" t="str">
        <f t="shared" si="26"/>
        <v>N</v>
      </c>
      <c r="Q53" s="1" t="str">
        <f t="shared" si="27"/>
        <v>Y</v>
      </c>
      <c r="R53" s="1" t="str">
        <f t="shared" si="28"/>
        <v>N</v>
      </c>
      <c r="S53" s="1" t="str">
        <f t="shared" si="29"/>
        <v>N</v>
      </c>
      <c r="T53" s="1" t="str">
        <f t="shared" si="30"/>
        <v>N</v>
      </c>
      <c r="U53" s="1" t="str">
        <f t="shared" si="31"/>
        <v>N</v>
      </c>
      <c r="V53" s="1" t="str">
        <f t="shared" si="32"/>
        <v>N</v>
      </c>
      <c r="Y53" s="1" t="str">
        <f t="shared" si="13"/>
        <v>N</v>
      </c>
      <c r="Z53" s="1" t="str">
        <f t="shared" si="14"/>
        <v>N</v>
      </c>
      <c r="AA53" s="1" t="str">
        <f t="shared" si="15"/>
        <v>N</v>
      </c>
      <c r="AB53" s="1" t="str">
        <f t="shared" si="16"/>
        <v>N</v>
      </c>
      <c r="AC53" s="1" t="str">
        <f t="shared" si="17"/>
        <v>N</v>
      </c>
      <c r="AD53" s="1" t="str">
        <f t="shared" si="18"/>
        <v>N</v>
      </c>
      <c r="AE53" s="1" t="str">
        <f t="shared" si="19"/>
        <v>N</v>
      </c>
      <c r="AF53" s="1" t="str">
        <f t="shared" si="20"/>
        <v>N</v>
      </c>
      <c r="AG53" s="1" t="str">
        <f t="shared" si="21"/>
        <v>N</v>
      </c>
      <c r="AH53" s="1" t="str">
        <f t="shared" si="22"/>
        <v>N</v>
      </c>
    </row>
    <row r="54" spans="1:34" x14ac:dyDescent="0.3">
      <c r="A54" s="1" t="s">
        <v>222</v>
      </c>
      <c r="B54" s="1" t="s">
        <v>115</v>
      </c>
      <c r="C54" s="7" t="s">
        <v>361</v>
      </c>
      <c r="D54" s="7" t="s">
        <v>362</v>
      </c>
      <c r="E54" s="7">
        <v>31.8673105224767</v>
      </c>
      <c r="F54" s="7" t="s">
        <v>363</v>
      </c>
      <c r="G54" s="7">
        <v>6.73397868486947</v>
      </c>
      <c r="H54" s="7" t="s">
        <v>364</v>
      </c>
      <c r="I54" s="7" t="s">
        <v>365</v>
      </c>
      <c r="J54" s="7" t="s">
        <v>366</v>
      </c>
      <c r="K54" s="7" t="s">
        <v>367</v>
      </c>
      <c r="M54" s="1" t="str">
        <f t="shared" si="23"/>
        <v>N</v>
      </c>
      <c r="N54" s="1" t="str">
        <f t="shared" si="24"/>
        <v>N</v>
      </c>
      <c r="O54" s="1" t="str">
        <f t="shared" si="25"/>
        <v>N</v>
      </c>
      <c r="P54" s="1" t="str">
        <f t="shared" si="26"/>
        <v>N</v>
      </c>
      <c r="Q54" s="1" t="str">
        <f t="shared" si="27"/>
        <v>N</v>
      </c>
      <c r="R54" s="1" t="str">
        <f t="shared" si="28"/>
        <v>N</v>
      </c>
      <c r="S54" s="1" t="str">
        <f t="shared" si="29"/>
        <v>N</v>
      </c>
      <c r="T54" s="1" t="str">
        <f t="shared" si="30"/>
        <v>N</v>
      </c>
      <c r="U54" s="1" t="str">
        <f t="shared" si="31"/>
        <v>N</v>
      </c>
      <c r="V54" s="1" t="str">
        <f t="shared" si="32"/>
        <v>N</v>
      </c>
      <c r="Y54" s="1" t="str">
        <f t="shared" si="13"/>
        <v>N</v>
      </c>
      <c r="Z54" s="1" t="str">
        <f t="shared" si="14"/>
        <v>N</v>
      </c>
      <c r="AA54" s="1" t="str">
        <f t="shared" si="15"/>
        <v>N</v>
      </c>
      <c r="AB54" s="1" t="str">
        <f t="shared" si="16"/>
        <v>N</v>
      </c>
      <c r="AC54" s="1" t="str">
        <f t="shared" si="17"/>
        <v>N</v>
      </c>
      <c r="AD54" s="1" t="str">
        <f t="shared" si="18"/>
        <v>N</v>
      </c>
      <c r="AE54" s="1" t="str">
        <f t="shared" si="19"/>
        <v>N</v>
      </c>
      <c r="AF54" s="1" t="str">
        <f t="shared" si="20"/>
        <v>N</v>
      </c>
      <c r="AG54" s="1" t="str">
        <f t="shared" si="21"/>
        <v>N</v>
      </c>
      <c r="AH54" s="1" t="str">
        <f t="shared" si="22"/>
        <v>N</v>
      </c>
    </row>
    <row r="55" spans="1:34" x14ac:dyDescent="0.3">
      <c r="A55" s="1" t="s">
        <v>223</v>
      </c>
      <c r="B55" s="1" t="s">
        <v>114</v>
      </c>
      <c r="C55" s="7" t="s">
        <v>361</v>
      </c>
      <c r="D55" s="7" t="s">
        <v>362</v>
      </c>
      <c r="E55" s="7">
        <v>24.577096617099802</v>
      </c>
      <c r="F55" s="7" t="s">
        <v>363</v>
      </c>
      <c r="G55" s="7" t="s">
        <v>368</v>
      </c>
      <c r="H55" s="7" t="s">
        <v>364</v>
      </c>
      <c r="I55" s="7" t="s">
        <v>365</v>
      </c>
      <c r="J55" s="7">
        <v>14.5890448241597</v>
      </c>
      <c r="K55" s="7" t="s">
        <v>367</v>
      </c>
      <c r="M55" s="1" t="str">
        <f t="shared" si="23"/>
        <v>N</v>
      </c>
      <c r="N55" s="1" t="str">
        <f t="shared" si="24"/>
        <v>N</v>
      </c>
      <c r="O55" s="1" t="str">
        <f t="shared" si="25"/>
        <v>N</v>
      </c>
      <c r="P55" s="1" t="str">
        <f t="shared" si="26"/>
        <v>N</v>
      </c>
      <c r="Q55" s="1" t="str">
        <f t="shared" si="27"/>
        <v>N</v>
      </c>
      <c r="R55" s="1" t="str">
        <f t="shared" si="28"/>
        <v>N</v>
      </c>
      <c r="S55" s="1" t="str">
        <f t="shared" si="29"/>
        <v>N</v>
      </c>
      <c r="T55" s="1" t="str">
        <f t="shared" si="30"/>
        <v>Y</v>
      </c>
      <c r="U55" s="1" t="str">
        <f t="shared" si="31"/>
        <v>N</v>
      </c>
      <c r="V55" s="1" t="str">
        <f t="shared" si="32"/>
        <v>N</v>
      </c>
      <c r="Y55" s="1" t="str">
        <f t="shared" si="13"/>
        <v>N</v>
      </c>
      <c r="Z55" s="1" t="str">
        <f t="shared" si="14"/>
        <v>N</v>
      </c>
      <c r="AA55" s="1" t="str">
        <f t="shared" si="15"/>
        <v>N</v>
      </c>
      <c r="AB55" s="1" t="str">
        <f t="shared" si="16"/>
        <v>N</v>
      </c>
      <c r="AC55" s="1" t="str">
        <f t="shared" si="17"/>
        <v>N</v>
      </c>
      <c r="AD55" s="1" t="str">
        <f t="shared" si="18"/>
        <v>N</v>
      </c>
      <c r="AE55" s="1" t="str">
        <f t="shared" si="19"/>
        <v>N</v>
      </c>
      <c r="AF55" s="1" t="str">
        <f t="shared" si="20"/>
        <v>N</v>
      </c>
      <c r="AG55" s="1" t="str">
        <f t="shared" si="21"/>
        <v>N</v>
      </c>
      <c r="AH55" s="1" t="str">
        <f t="shared" si="22"/>
        <v>N</v>
      </c>
    </row>
    <row r="56" spans="1:34" x14ac:dyDescent="0.3">
      <c r="A56" s="1" t="s">
        <v>224</v>
      </c>
      <c r="B56" s="1" t="s">
        <v>10</v>
      </c>
      <c r="C56" s="7" t="s">
        <v>361</v>
      </c>
      <c r="D56" s="7" t="s">
        <v>362</v>
      </c>
      <c r="E56" s="7">
        <v>27.6495154363278</v>
      </c>
      <c r="F56" s="7" t="s">
        <v>363</v>
      </c>
      <c r="G56" s="7">
        <v>21.376870567609</v>
      </c>
      <c r="H56" s="7" t="s">
        <v>364</v>
      </c>
      <c r="I56" s="7" t="s">
        <v>365</v>
      </c>
      <c r="J56" s="7" t="s">
        <v>366</v>
      </c>
      <c r="K56" s="7" t="s">
        <v>367</v>
      </c>
      <c r="M56" s="1" t="str">
        <f t="shared" si="23"/>
        <v>N</v>
      </c>
      <c r="N56" s="1" t="str">
        <f t="shared" si="24"/>
        <v>N</v>
      </c>
      <c r="O56" s="1" t="str">
        <f t="shared" si="25"/>
        <v>N</v>
      </c>
      <c r="P56" s="1" t="str">
        <f t="shared" si="26"/>
        <v>N</v>
      </c>
      <c r="Q56" s="1" t="str">
        <f t="shared" si="27"/>
        <v>N</v>
      </c>
      <c r="R56" s="1" t="str">
        <f t="shared" si="28"/>
        <v>N</v>
      </c>
      <c r="S56" s="1" t="str">
        <f t="shared" si="29"/>
        <v>N</v>
      </c>
      <c r="T56" s="1" t="str">
        <f t="shared" si="30"/>
        <v>N</v>
      </c>
      <c r="U56" s="1" t="str">
        <f t="shared" si="31"/>
        <v>N</v>
      </c>
      <c r="V56" s="1" t="str">
        <f t="shared" si="32"/>
        <v>N</v>
      </c>
      <c r="Y56" s="1" t="str">
        <f t="shared" si="13"/>
        <v>N</v>
      </c>
      <c r="Z56" s="1" t="str">
        <f t="shared" si="14"/>
        <v>N</v>
      </c>
      <c r="AA56" s="1" t="str">
        <f t="shared" si="15"/>
        <v>N</v>
      </c>
      <c r="AB56" s="1" t="str">
        <f t="shared" si="16"/>
        <v>N</v>
      </c>
      <c r="AC56" s="1" t="str">
        <f t="shared" si="17"/>
        <v>N</v>
      </c>
      <c r="AD56" s="1" t="str">
        <f t="shared" si="18"/>
        <v>N</v>
      </c>
      <c r="AE56" s="1" t="str">
        <f t="shared" si="19"/>
        <v>N</v>
      </c>
      <c r="AF56" s="1" t="str">
        <f t="shared" si="20"/>
        <v>N</v>
      </c>
      <c r="AG56" s="1" t="str">
        <f t="shared" si="21"/>
        <v>N</v>
      </c>
      <c r="AH56" s="1" t="str">
        <f t="shared" si="22"/>
        <v>N</v>
      </c>
    </row>
    <row r="57" spans="1:34" x14ac:dyDescent="0.3">
      <c r="A57" s="1" t="s">
        <v>225</v>
      </c>
      <c r="B57" s="1" t="s">
        <v>13</v>
      </c>
      <c r="C57" s="7" t="s">
        <v>361</v>
      </c>
      <c r="D57" s="7" t="s">
        <v>362</v>
      </c>
      <c r="E57" s="7">
        <v>8.4058719135644697</v>
      </c>
      <c r="F57" s="7" t="s">
        <v>363</v>
      </c>
      <c r="G57" s="7" t="s">
        <v>368</v>
      </c>
      <c r="H57" s="7" t="s">
        <v>364</v>
      </c>
      <c r="I57" s="7" t="s">
        <v>365</v>
      </c>
      <c r="J57" s="7" t="s">
        <v>366</v>
      </c>
      <c r="K57" s="7" t="s">
        <v>367</v>
      </c>
      <c r="M57" s="1" t="str">
        <f t="shared" si="23"/>
        <v>N</v>
      </c>
      <c r="N57" s="1" t="str">
        <f t="shared" si="24"/>
        <v>N</v>
      </c>
      <c r="O57" s="1" t="str">
        <f t="shared" si="25"/>
        <v>N</v>
      </c>
      <c r="P57" s="1" t="str">
        <f t="shared" si="26"/>
        <v>N</v>
      </c>
      <c r="Q57" s="1" t="str">
        <f t="shared" si="27"/>
        <v>N</v>
      </c>
      <c r="R57" s="1" t="str">
        <f t="shared" si="28"/>
        <v>N</v>
      </c>
      <c r="S57" s="1" t="str">
        <f t="shared" si="29"/>
        <v>N</v>
      </c>
      <c r="T57" s="1" t="str">
        <f t="shared" si="30"/>
        <v>N</v>
      </c>
      <c r="U57" s="1" t="str">
        <f t="shared" si="31"/>
        <v>N</v>
      </c>
      <c r="V57" s="1" t="str">
        <f t="shared" si="32"/>
        <v>N</v>
      </c>
      <c r="Y57" s="1" t="str">
        <f t="shared" si="13"/>
        <v>N</v>
      </c>
      <c r="Z57" s="1" t="str">
        <f t="shared" si="14"/>
        <v>N</v>
      </c>
      <c r="AA57" s="1" t="str">
        <f t="shared" si="15"/>
        <v>N</v>
      </c>
      <c r="AB57" s="1" t="str">
        <f t="shared" si="16"/>
        <v>N</v>
      </c>
      <c r="AC57" s="1" t="str">
        <f t="shared" si="17"/>
        <v>N</v>
      </c>
      <c r="AD57" s="1" t="str">
        <f t="shared" si="18"/>
        <v>N</v>
      </c>
      <c r="AE57" s="1" t="str">
        <f t="shared" si="19"/>
        <v>N</v>
      </c>
      <c r="AF57" s="1" t="str">
        <f t="shared" si="20"/>
        <v>N</v>
      </c>
      <c r="AG57" s="1" t="str">
        <f t="shared" si="21"/>
        <v>N</v>
      </c>
      <c r="AH57" s="1" t="str">
        <f t="shared" si="22"/>
        <v>N</v>
      </c>
    </row>
    <row r="58" spans="1:34" x14ac:dyDescent="0.3">
      <c r="A58" s="1" t="s">
        <v>226</v>
      </c>
      <c r="B58" s="1" t="s">
        <v>26</v>
      </c>
      <c r="C58" s="7" t="s">
        <v>361</v>
      </c>
      <c r="D58" s="7" t="s">
        <v>362</v>
      </c>
      <c r="E58" s="7">
        <v>68.771290736389801</v>
      </c>
      <c r="F58" s="7" t="s">
        <v>363</v>
      </c>
      <c r="G58" s="7">
        <v>21.043223013326099</v>
      </c>
      <c r="H58" s="7" t="s">
        <v>364</v>
      </c>
      <c r="I58" s="7" t="s">
        <v>365</v>
      </c>
      <c r="J58" s="7" t="s">
        <v>366</v>
      </c>
      <c r="K58" s="7" t="s">
        <v>367</v>
      </c>
      <c r="M58" s="1" t="str">
        <f t="shared" si="23"/>
        <v>N</v>
      </c>
      <c r="N58" s="1" t="str">
        <f t="shared" si="24"/>
        <v>N</v>
      </c>
      <c r="O58" s="1" t="str">
        <f t="shared" si="25"/>
        <v>N</v>
      </c>
      <c r="P58" s="1" t="str">
        <f t="shared" si="26"/>
        <v>N</v>
      </c>
      <c r="Q58" s="1" t="str">
        <f t="shared" si="27"/>
        <v>N</v>
      </c>
      <c r="R58" s="1" t="str">
        <f t="shared" si="28"/>
        <v>N</v>
      </c>
      <c r="S58" s="1" t="str">
        <f t="shared" si="29"/>
        <v>N</v>
      </c>
      <c r="T58" s="1" t="str">
        <f t="shared" si="30"/>
        <v>N</v>
      </c>
      <c r="U58" s="1" t="str">
        <f t="shared" si="31"/>
        <v>N</v>
      </c>
      <c r="V58" s="1" t="str">
        <f t="shared" si="32"/>
        <v>N</v>
      </c>
      <c r="Y58" s="1" t="str">
        <f t="shared" si="13"/>
        <v>N</v>
      </c>
      <c r="Z58" s="1" t="str">
        <f t="shared" si="14"/>
        <v>N</v>
      </c>
      <c r="AA58" s="1" t="str">
        <f t="shared" si="15"/>
        <v>N</v>
      </c>
      <c r="AB58" s="1" t="str">
        <f t="shared" si="16"/>
        <v>N</v>
      </c>
      <c r="AC58" s="1" t="str">
        <f t="shared" si="17"/>
        <v>N</v>
      </c>
      <c r="AD58" s="1" t="str">
        <f t="shared" si="18"/>
        <v>N</v>
      </c>
      <c r="AE58" s="1" t="str">
        <f t="shared" si="19"/>
        <v>N</v>
      </c>
      <c r="AF58" s="1" t="str">
        <f t="shared" si="20"/>
        <v>N</v>
      </c>
      <c r="AG58" s="1" t="str">
        <f t="shared" si="21"/>
        <v>N</v>
      </c>
      <c r="AH58" s="1" t="str">
        <f t="shared" si="22"/>
        <v>N</v>
      </c>
    </row>
    <row r="59" spans="1:34" x14ac:dyDescent="0.3">
      <c r="A59" s="1" t="s">
        <v>227</v>
      </c>
      <c r="B59" s="1" t="s">
        <v>120</v>
      </c>
      <c r="C59" s="7" t="s">
        <v>361</v>
      </c>
      <c r="D59" s="7" t="s">
        <v>362</v>
      </c>
      <c r="E59" s="7">
        <v>63.057035026569999</v>
      </c>
      <c r="F59" s="7" t="s">
        <v>363</v>
      </c>
      <c r="G59" s="7">
        <v>13.5149167810428</v>
      </c>
      <c r="H59" s="7" t="s">
        <v>364</v>
      </c>
      <c r="I59" s="7" t="s">
        <v>365</v>
      </c>
      <c r="J59" s="7" t="s">
        <v>366</v>
      </c>
      <c r="K59" s="7" t="s">
        <v>367</v>
      </c>
      <c r="M59" s="1" t="str">
        <f t="shared" si="23"/>
        <v>N</v>
      </c>
      <c r="N59" s="1" t="str">
        <f t="shared" si="24"/>
        <v>N</v>
      </c>
      <c r="O59" s="1" t="str">
        <f t="shared" si="25"/>
        <v>N</v>
      </c>
      <c r="P59" s="1" t="str">
        <f t="shared" si="26"/>
        <v>N</v>
      </c>
      <c r="Q59" s="1" t="str">
        <f t="shared" si="27"/>
        <v>N</v>
      </c>
      <c r="R59" s="1" t="str">
        <f t="shared" si="28"/>
        <v>N</v>
      </c>
      <c r="S59" s="1" t="str">
        <f t="shared" si="29"/>
        <v>N</v>
      </c>
      <c r="T59" s="1" t="str">
        <f t="shared" si="30"/>
        <v>N</v>
      </c>
      <c r="U59" s="1" t="str">
        <f t="shared" si="31"/>
        <v>N</v>
      </c>
      <c r="V59" s="1" t="str">
        <f t="shared" si="32"/>
        <v>N</v>
      </c>
      <c r="Y59" s="1" t="str">
        <f t="shared" si="13"/>
        <v>N</v>
      </c>
      <c r="Z59" s="1" t="str">
        <f t="shared" si="14"/>
        <v>N</v>
      </c>
      <c r="AA59" s="1" t="str">
        <f t="shared" si="15"/>
        <v>N</v>
      </c>
      <c r="AB59" s="1" t="str">
        <f t="shared" si="16"/>
        <v>N</v>
      </c>
      <c r="AC59" s="1" t="str">
        <f t="shared" si="17"/>
        <v>N</v>
      </c>
      <c r="AD59" s="1" t="str">
        <f t="shared" si="18"/>
        <v>N</v>
      </c>
      <c r="AE59" s="1" t="str">
        <f t="shared" si="19"/>
        <v>N</v>
      </c>
      <c r="AF59" s="1" t="str">
        <f t="shared" si="20"/>
        <v>N</v>
      </c>
      <c r="AG59" s="1" t="str">
        <f t="shared" si="21"/>
        <v>N</v>
      </c>
      <c r="AH59" s="1" t="str">
        <f t="shared" si="22"/>
        <v>N</v>
      </c>
    </row>
    <row r="60" spans="1:34" ht="15" thickBot="1" x14ac:dyDescent="0.35">
      <c r="A60" s="4" t="s">
        <v>228</v>
      </c>
      <c r="B60" s="4" t="s">
        <v>46</v>
      </c>
      <c r="C60" s="9" t="s">
        <v>361</v>
      </c>
      <c r="D60" s="9" t="s">
        <v>362</v>
      </c>
      <c r="E60" s="9">
        <v>61.440126331170603</v>
      </c>
      <c r="F60" s="9" t="s">
        <v>363</v>
      </c>
      <c r="G60" s="9">
        <v>21.193762980164799</v>
      </c>
      <c r="H60" s="9" t="s">
        <v>364</v>
      </c>
      <c r="I60" s="9" t="s">
        <v>365</v>
      </c>
      <c r="J60" s="9" t="s">
        <v>366</v>
      </c>
      <c r="K60" s="9" t="s">
        <v>367</v>
      </c>
      <c r="M60" s="1" t="str">
        <f t="shared" si="23"/>
        <v>N</v>
      </c>
      <c r="N60" s="1" t="str">
        <f t="shared" si="24"/>
        <v>N</v>
      </c>
      <c r="O60" s="1" t="str">
        <f t="shared" si="25"/>
        <v>N</v>
      </c>
      <c r="P60" s="1" t="str">
        <f t="shared" si="26"/>
        <v>N</v>
      </c>
      <c r="Q60" s="1" t="str">
        <f t="shared" si="27"/>
        <v>N</v>
      </c>
      <c r="R60" s="1" t="str">
        <f t="shared" si="28"/>
        <v>N</v>
      </c>
      <c r="S60" s="1" t="str">
        <f t="shared" si="29"/>
        <v>N</v>
      </c>
      <c r="T60" s="1" t="str">
        <f t="shared" si="30"/>
        <v>N</v>
      </c>
      <c r="U60" s="1" t="str">
        <f t="shared" si="31"/>
        <v>N</v>
      </c>
      <c r="V60" s="1" t="str">
        <f t="shared" si="32"/>
        <v>N</v>
      </c>
      <c r="Y60" s="1" t="str">
        <f t="shared" si="13"/>
        <v>N</v>
      </c>
      <c r="Z60" s="1" t="str">
        <f t="shared" si="14"/>
        <v>N</v>
      </c>
      <c r="AA60" s="1" t="str">
        <f t="shared" si="15"/>
        <v>N</v>
      </c>
      <c r="AB60" s="1" t="str">
        <f t="shared" si="16"/>
        <v>N</v>
      </c>
      <c r="AC60" s="1" t="str">
        <f t="shared" si="17"/>
        <v>N</v>
      </c>
      <c r="AD60" s="1" t="str">
        <f t="shared" si="18"/>
        <v>N</v>
      </c>
      <c r="AE60" s="1" t="str">
        <f t="shared" si="19"/>
        <v>N</v>
      </c>
      <c r="AF60" s="1" t="str">
        <f t="shared" si="20"/>
        <v>N</v>
      </c>
      <c r="AG60" s="1" t="str">
        <f t="shared" si="21"/>
        <v>N</v>
      </c>
      <c r="AH60" s="1" t="str">
        <f t="shared" si="22"/>
        <v>N</v>
      </c>
    </row>
    <row r="61" spans="1:34" x14ac:dyDescent="0.3">
      <c r="B61" s="3" t="s">
        <v>350</v>
      </c>
      <c r="C61" s="7">
        <v>15.831834186868001</v>
      </c>
      <c r="D61" s="7">
        <v>17.593482923171401</v>
      </c>
      <c r="E61" s="7">
        <v>12.1561184195526</v>
      </c>
      <c r="F61" s="7">
        <v>8.9119906792281505</v>
      </c>
      <c r="G61" s="7">
        <v>10.9404606796361</v>
      </c>
      <c r="H61" s="7">
        <v>94.388881112154195</v>
      </c>
      <c r="I61" s="7">
        <v>23.257769028329498</v>
      </c>
      <c r="J61" s="7">
        <v>96.731789701999105</v>
      </c>
      <c r="K61" s="7">
        <v>16.046989593193999</v>
      </c>
      <c r="U61" s="1"/>
      <c r="AG61" s="1"/>
    </row>
    <row r="62" spans="1:34" x14ac:dyDescent="0.3">
      <c r="A62" s="5"/>
      <c r="B62" s="6" t="s">
        <v>351</v>
      </c>
      <c r="C62" s="8">
        <v>4.7495502560604201</v>
      </c>
      <c r="D62" s="8">
        <v>5.2780448769514399</v>
      </c>
      <c r="E62" s="8">
        <v>3.6468355258657899</v>
      </c>
      <c r="F62" s="8">
        <v>2.6735972037684399</v>
      </c>
      <c r="G62" s="8">
        <v>3.28213820389084</v>
      </c>
      <c r="H62" s="8">
        <v>28.316664333646202</v>
      </c>
      <c r="I62" s="8">
        <v>6.9773307084988501</v>
      </c>
      <c r="J62" s="8">
        <v>29.019536910599701</v>
      </c>
      <c r="K62" s="8">
        <v>4.8140968779581996</v>
      </c>
      <c r="U62" s="1"/>
      <c r="AG62" s="1"/>
    </row>
    <row r="63" spans="1:34" x14ac:dyDescent="0.3">
      <c r="A63" s="10" t="s">
        <v>172</v>
      </c>
      <c r="B63" s="10" t="s">
        <v>349</v>
      </c>
      <c r="C63" s="10" t="s">
        <v>352</v>
      </c>
      <c r="D63" s="10" t="s">
        <v>353</v>
      </c>
      <c r="E63" s="10" t="s">
        <v>354</v>
      </c>
      <c r="F63" s="10" t="s">
        <v>355</v>
      </c>
      <c r="G63" s="10" t="s">
        <v>356</v>
      </c>
      <c r="H63" s="10" t="s">
        <v>357</v>
      </c>
      <c r="I63" s="10" t="s">
        <v>358</v>
      </c>
      <c r="J63" s="10" t="s">
        <v>359</v>
      </c>
      <c r="K63" s="10" t="s">
        <v>360</v>
      </c>
      <c r="M63" s="1" t="str">
        <f t="shared" ref="M63:S69" si="33">IF(AND(C63&gt;M$4,ISNUMBER(C63)),"Y","N")</f>
        <v>N</v>
      </c>
      <c r="N63" s="1" t="str">
        <f t="shared" si="33"/>
        <v>N</v>
      </c>
      <c r="O63" s="1" t="str">
        <f t="shared" si="33"/>
        <v>N</v>
      </c>
      <c r="P63" s="1" t="str">
        <f t="shared" si="33"/>
        <v>N</v>
      </c>
      <c r="Q63" s="1" t="str">
        <f t="shared" si="33"/>
        <v>N</v>
      </c>
      <c r="R63" s="1" t="str">
        <f t="shared" si="33"/>
        <v>N</v>
      </c>
      <c r="S63" s="1" t="str">
        <f t="shared" si="33"/>
        <v>N</v>
      </c>
      <c r="T63" s="1" t="str">
        <f t="shared" ref="T63:T69" si="34">IF(AND(J63&lt;T$4,ISNUMBER(J63)),"Y","N")</f>
        <v>N</v>
      </c>
      <c r="U63" s="1" t="str">
        <f t="shared" ref="U63:U84" si="35">IF(AND(K63&gt;U$4,ISNUMBER(K63)),"Y","N")</f>
        <v>N</v>
      </c>
      <c r="V63" s="1" t="str">
        <f t="shared" ref="V63:V84" si="36">IF(AND(L63&gt;V$4,ISNUMBER(L63)),"Y","N")</f>
        <v>N</v>
      </c>
      <c r="Y63" s="1" t="str">
        <f t="shared" si="13"/>
        <v>N</v>
      </c>
      <c r="Z63" s="1" t="str">
        <f t="shared" si="14"/>
        <v>N</v>
      </c>
      <c r="AA63" s="1" t="str">
        <f t="shared" si="15"/>
        <v>N</v>
      </c>
      <c r="AB63" s="1" t="str">
        <f t="shared" si="16"/>
        <v>N</v>
      </c>
      <c r="AC63" s="1" t="str">
        <f t="shared" si="17"/>
        <v>N</v>
      </c>
      <c r="AD63" s="1" t="str">
        <f t="shared" si="18"/>
        <v>N</v>
      </c>
      <c r="AE63" s="1" t="str">
        <f t="shared" si="19"/>
        <v>N</v>
      </c>
      <c r="AF63" s="1" t="str">
        <f t="shared" si="20"/>
        <v>N</v>
      </c>
      <c r="AG63" s="1" t="str">
        <f t="shared" si="21"/>
        <v>N</v>
      </c>
      <c r="AH63" s="1" t="str">
        <f t="shared" si="22"/>
        <v>N</v>
      </c>
    </row>
    <row r="64" spans="1:34" x14ac:dyDescent="0.3">
      <c r="A64" s="1" t="s">
        <v>229</v>
      </c>
      <c r="B64" s="1" t="s">
        <v>54</v>
      </c>
      <c r="C64" s="7" t="s">
        <v>370</v>
      </c>
      <c r="D64" s="7" t="s">
        <v>371</v>
      </c>
      <c r="E64" s="7">
        <v>36.972773010125302</v>
      </c>
      <c r="F64" s="7" t="s">
        <v>372</v>
      </c>
      <c r="G64" s="7" t="s">
        <v>373</v>
      </c>
      <c r="H64" s="7" t="s">
        <v>374</v>
      </c>
      <c r="I64" s="7" t="s">
        <v>375</v>
      </c>
      <c r="J64" s="7" t="s">
        <v>376</v>
      </c>
      <c r="K64" s="7" t="s">
        <v>377</v>
      </c>
      <c r="M64" s="1" t="str">
        <f t="shared" si="33"/>
        <v>N</v>
      </c>
      <c r="N64" s="1" t="str">
        <f t="shared" si="33"/>
        <v>N</v>
      </c>
      <c r="O64" s="1" t="str">
        <f t="shared" si="33"/>
        <v>N</v>
      </c>
      <c r="P64" s="1" t="str">
        <f t="shared" si="33"/>
        <v>N</v>
      </c>
      <c r="Q64" s="1" t="str">
        <f t="shared" si="33"/>
        <v>N</v>
      </c>
      <c r="R64" s="1" t="str">
        <f t="shared" si="33"/>
        <v>N</v>
      </c>
      <c r="S64" s="1" t="str">
        <f t="shared" si="33"/>
        <v>N</v>
      </c>
      <c r="T64" s="1" t="str">
        <f t="shared" si="34"/>
        <v>N</v>
      </c>
      <c r="U64" s="1" t="str">
        <f t="shared" si="35"/>
        <v>N</v>
      </c>
      <c r="V64" s="1" t="str">
        <f t="shared" si="36"/>
        <v>N</v>
      </c>
      <c r="Y64" s="1" t="str">
        <f t="shared" si="13"/>
        <v>N</v>
      </c>
      <c r="Z64" s="1" t="str">
        <f t="shared" si="14"/>
        <v>N</v>
      </c>
      <c r="AA64" s="1" t="str">
        <f t="shared" si="15"/>
        <v>N</v>
      </c>
      <c r="AB64" s="1" t="str">
        <f t="shared" si="16"/>
        <v>N</v>
      </c>
      <c r="AC64" s="1" t="str">
        <f t="shared" si="17"/>
        <v>N</v>
      </c>
      <c r="AD64" s="1" t="str">
        <f t="shared" si="18"/>
        <v>N</v>
      </c>
      <c r="AE64" s="1" t="str">
        <f t="shared" si="19"/>
        <v>N</v>
      </c>
      <c r="AF64" s="1" t="str">
        <f t="shared" si="20"/>
        <v>N</v>
      </c>
      <c r="AG64" s="1" t="str">
        <f t="shared" si="21"/>
        <v>N</v>
      </c>
      <c r="AH64" s="1" t="str">
        <f t="shared" si="22"/>
        <v>N</v>
      </c>
    </row>
    <row r="65" spans="1:34" x14ac:dyDescent="0.3">
      <c r="A65" s="1" t="s">
        <v>230</v>
      </c>
      <c r="B65" s="1" t="s">
        <v>65</v>
      </c>
      <c r="C65" s="7" t="s">
        <v>370</v>
      </c>
      <c r="D65" s="7" t="s">
        <v>371</v>
      </c>
      <c r="E65" s="7">
        <v>17.998453894846101</v>
      </c>
      <c r="F65" s="7" t="s">
        <v>372</v>
      </c>
      <c r="G65" s="7">
        <v>158.200414565969</v>
      </c>
      <c r="H65" s="7">
        <v>304.11540953847299</v>
      </c>
      <c r="I65" s="7" t="s">
        <v>375</v>
      </c>
      <c r="J65" s="7" t="s">
        <v>376</v>
      </c>
      <c r="K65" s="7" t="s">
        <v>377</v>
      </c>
      <c r="M65" s="1" t="str">
        <f t="shared" si="33"/>
        <v>N</v>
      </c>
      <c r="N65" s="1" t="str">
        <f t="shared" si="33"/>
        <v>N</v>
      </c>
      <c r="O65" s="1" t="str">
        <f t="shared" si="33"/>
        <v>N</v>
      </c>
      <c r="P65" s="1" t="str">
        <f t="shared" si="33"/>
        <v>N</v>
      </c>
      <c r="Q65" s="1" t="str">
        <f t="shared" si="33"/>
        <v>Y</v>
      </c>
      <c r="R65" s="1" t="str">
        <f t="shared" si="33"/>
        <v>Y</v>
      </c>
      <c r="S65" s="1" t="str">
        <f t="shared" si="33"/>
        <v>N</v>
      </c>
      <c r="T65" s="1" t="str">
        <f t="shared" si="34"/>
        <v>N</v>
      </c>
      <c r="U65" s="1" t="str">
        <f t="shared" si="35"/>
        <v>N</v>
      </c>
      <c r="V65" s="1" t="str">
        <f t="shared" si="36"/>
        <v>N</v>
      </c>
      <c r="Y65" s="1" t="str">
        <f t="shared" si="13"/>
        <v>N</v>
      </c>
      <c r="Z65" s="1" t="str">
        <f t="shared" si="14"/>
        <v>N</v>
      </c>
      <c r="AA65" s="1" t="str">
        <f t="shared" si="15"/>
        <v>N</v>
      </c>
      <c r="AB65" s="1" t="str">
        <f t="shared" si="16"/>
        <v>N</v>
      </c>
      <c r="AC65" s="1" t="str">
        <f t="shared" si="17"/>
        <v>Y</v>
      </c>
      <c r="AD65" s="1" t="str">
        <f t="shared" si="18"/>
        <v>N</v>
      </c>
      <c r="AE65" s="1" t="str">
        <f t="shared" si="19"/>
        <v>N</v>
      </c>
      <c r="AF65" s="1" t="str">
        <f t="shared" si="20"/>
        <v>N</v>
      </c>
      <c r="AG65" s="1" t="str">
        <f t="shared" si="21"/>
        <v>N</v>
      </c>
      <c r="AH65" s="1" t="str">
        <f t="shared" si="22"/>
        <v>N</v>
      </c>
    </row>
    <row r="66" spans="1:34" x14ac:dyDescent="0.3">
      <c r="A66" s="1" t="s">
        <v>231</v>
      </c>
      <c r="B66" s="1" t="s">
        <v>56</v>
      </c>
      <c r="C66" s="7" t="s">
        <v>370</v>
      </c>
      <c r="D66" s="7" t="s">
        <v>371</v>
      </c>
      <c r="E66" s="7">
        <v>42.251544872613202</v>
      </c>
      <c r="F66" s="7" t="s">
        <v>372</v>
      </c>
      <c r="G66" s="7" t="s">
        <v>373</v>
      </c>
      <c r="H66" s="7" t="s">
        <v>374</v>
      </c>
      <c r="I66" s="7" t="s">
        <v>375</v>
      </c>
      <c r="J66" s="7" t="s">
        <v>376</v>
      </c>
      <c r="K66" s="7" t="s">
        <v>377</v>
      </c>
      <c r="M66" s="1" t="str">
        <f t="shared" si="33"/>
        <v>N</v>
      </c>
      <c r="N66" s="1" t="str">
        <f t="shared" si="33"/>
        <v>N</v>
      </c>
      <c r="O66" s="1" t="str">
        <f t="shared" si="33"/>
        <v>N</v>
      </c>
      <c r="P66" s="1" t="str">
        <f t="shared" si="33"/>
        <v>N</v>
      </c>
      <c r="Q66" s="1" t="str">
        <f t="shared" si="33"/>
        <v>N</v>
      </c>
      <c r="R66" s="1" t="str">
        <f t="shared" si="33"/>
        <v>N</v>
      </c>
      <c r="S66" s="1" t="str">
        <f t="shared" si="33"/>
        <v>N</v>
      </c>
      <c r="T66" s="1" t="str">
        <f t="shared" si="34"/>
        <v>N</v>
      </c>
      <c r="U66" s="1" t="str">
        <f t="shared" si="35"/>
        <v>N</v>
      </c>
      <c r="V66" s="1" t="str">
        <f t="shared" si="36"/>
        <v>N</v>
      </c>
      <c r="Y66" s="1" t="str">
        <f t="shared" si="13"/>
        <v>N</v>
      </c>
      <c r="Z66" s="1" t="str">
        <f t="shared" si="14"/>
        <v>N</v>
      </c>
      <c r="AA66" s="1" t="str">
        <f t="shared" si="15"/>
        <v>N</v>
      </c>
      <c r="AB66" s="1" t="str">
        <f t="shared" si="16"/>
        <v>N</v>
      </c>
      <c r="AC66" s="1" t="str">
        <f t="shared" si="17"/>
        <v>N</v>
      </c>
      <c r="AD66" s="1" t="str">
        <f t="shared" si="18"/>
        <v>N</v>
      </c>
      <c r="AE66" s="1" t="str">
        <f t="shared" si="19"/>
        <v>N</v>
      </c>
      <c r="AF66" s="1" t="str">
        <f t="shared" si="20"/>
        <v>N</v>
      </c>
      <c r="AG66" s="1" t="str">
        <f t="shared" si="21"/>
        <v>N</v>
      </c>
      <c r="AH66" s="1" t="str">
        <f t="shared" si="22"/>
        <v>N</v>
      </c>
    </row>
    <row r="67" spans="1:34" x14ac:dyDescent="0.3">
      <c r="A67" s="1" t="s">
        <v>232</v>
      </c>
      <c r="B67" s="1" t="s">
        <v>55</v>
      </c>
      <c r="C67" s="7" t="s">
        <v>370</v>
      </c>
      <c r="D67" s="7" t="s">
        <v>371</v>
      </c>
      <c r="E67" s="7">
        <v>73.184708405291303</v>
      </c>
      <c r="F67" s="7" t="s">
        <v>372</v>
      </c>
      <c r="G67" s="7" t="s">
        <v>373</v>
      </c>
      <c r="H67" s="7" t="s">
        <v>374</v>
      </c>
      <c r="I67" s="7" t="s">
        <v>375</v>
      </c>
      <c r="J67" s="7" t="s">
        <v>376</v>
      </c>
      <c r="K67" s="7" t="s">
        <v>377</v>
      </c>
      <c r="M67" s="1" t="str">
        <f t="shared" si="33"/>
        <v>N</v>
      </c>
      <c r="N67" s="1" t="str">
        <f t="shared" si="33"/>
        <v>N</v>
      </c>
      <c r="O67" s="1" t="str">
        <f t="shared" si="33"/>
        <v>N</v>
      </c>
      <c r="P67" s="1" t="str">
        <f t="shared" si="33"/>
        <v>N</v>
      </c>
      <c r="Q67" s="1" t="str">
        <f t="shared" si="33"/>
        <v>N</v>
      </c>
      <c r="R67" s="1" t="str">
        <f t="shared" si="33"/>
        <v>N</v>
      </c>
      <c r="S67" s="1" t="str">
        <f t="shared" si="33"/>
        <v>N</v>
      </c>
      <c r="T67" s="1" t="str">
        <f t="shared" si="34"/>
        <v>N</v>
      </c>
      <c r="U67" s="1" t="str">
        <f t="shared" si="35"/>
        <v>N</v>
      </c>
      <c r="V67" s="1" t="str">
        <f t="shared" si="36"/>
        <v>N</v>
      </c>
      <c r="Y67" s="1" t="str">
        <f t="shared" si="13"/>
        <v>N</v>
      </c>
      <c r="Z67" s="1" t="str">
        <f t="shared" si="14"/>
        <v>N</v>
      </c>
      <c r="AA67" s="1" t="str">
        <f t="shared" si="15"/>
        <v>N</v>
      </c>
      <c r="AB67" s="1" t="str">
        <f t="shared" si="16"/>
        <v>N</v>
      </c>
      <c r="AC67" s="1" t="str">
        <f t="shared" si="17"/>
        <v>N</v>
      </c>
      <c r="AD67" s="1" t="str">
        <f t="shared" si="18"/>
        <v>N</v>
      </c>
      <c r="AE67" s="1" t="str">
        <f t="shared" si="19"/>
        <v>N</v>
      </c>
      <c r="AF67" s="1" t="str">
        <f t="shared" si="20"/>
        <v>N</v>
      </c>
      <c r="AG67" s="1" t="str">
        <f t="shared" si="21"/>
        <v>N</v>
      </c>
      <c r="AH67" s="1" t="str">
        <f t="shared" si="22"/>
        <v>N</v>
      </c>
    </row>
    <row r="68" spans="1:34" x14ac:dyDescent="0.3">
      <c r="A68" s="1" t="s">
        <v>233</v>
      </c>
      <c r="B68" s="1" t="s">
        <v>62</v>
      </c>
      <c r="C68" s="7" t="s">
        <v>370</v>
      </c>
      <c r="D68" s="7" t="s">
        <v>371</v>
      </c>
      <c r="E68" s="7">
        <v>29.773416764274401</v>
      </c>
      <c r="F68" s="7" t="s">
        <v>372</v>
      </c>
      <c r="G68" s="7">
        <v>155.638598249555</v>
      </c>
      <c r="H68" s="7">
        <v>315.27223312646697</v>
      </c>
      <c r="I68" s="7" t="s">
        <v>375</v>
      </c>
      <c r="J68" s="7" t="s">
        <v>376</v>
      </c>
      <c r="K68" s="7" t="s">
        <v>377</v>
      </c>
      <c r="M68" s="1" t="str">
        <f t="shared" si="33"/>
        <v>N</v>
      </c>
      <c r="N68" s="1" t="str">
        <f t="shared" si="33"/>
        <v>N</v>
      </c>
      <c r="O68" s="1" t="str">
        <f t="shared" si="33"/>
        <v>N</v>
      </c>
      <c r="P68" s="1" t="str">
        <f t="shared" si="33"/>
        <v>N</v>
      </c>
      <c r="Q68" s="1" t="str">
        <f t="shared" si="33"/>
        <v>Y</v>
      </c>
      <c r="R68" s="1" t="str">
        <f t="shared" si="33"/>
        <v>Y</v>
      </c>
      <c r="S68" s="1" t="str">
        <f t="shared" si="33"/>
        <v>N</v>
      </c>
      <c r="T68" s="1" t="str">
        <f t="shared" si="34"/>
        <v>N</v>
      </c>
      <c r="U68" s="1" t="str">
        <f t="shared" si="35"/>
        <v>N</v>
      </c>
      <c r="V68" s="1" t="str">
        <f t="shared" si="36"/>
        <v>N</v>
      </c>
      <c r="Y68" s="1" t="str">
        <f t="shared" si="13"/>
        <v>N</v>
      </c>
      <c r="Z68" s="1" t="str">
        <f t="shared" si="14"/>
        <v>N</v>
      </c>
      <c r="AA68" s="1" t="str">
        <f t="shared" si="15"/>
        <v>N</v>
      </c>
      <c r="AB68" s="1" t="str">
        <f t="shared" si="16"/>
        <v>N</v>
      </c>
      <c r="AC68" s="1" t="str">
        <f t="shared" si="17"/>
        <v>Y</v>
      </c>
      <c r="AD68" s="1" t="str">
        <f t="shared" si="18"/>
        <v>N</v>
      </c>
      <c r="AE68" s="1" t="str">
        <f t="shared" si="19"/>
        <v>N</v>
      </c>
      <c r="AF68" s="1" t="str">
        <f t="shared" si="20"/>
        <v>N</v>
      </c>
      <c r="AG68" s="1" t="str">
        <f t="shared" si="21"/>
        <v>N</v>
      </c>
      <c r="AH68" s="1" t="str">
        <f t="shared" si="22"/>
        <v>N</v>
      </c>
    </row>
    <row r="69" spans="1:34" x14ac:dyDescent="0.3">
      <c r="A69" s="1" t="s">
        <v>234</v>
      </c>
      <c r="B69" s="1" t="s">
        <v>86</v>
      </c>
      <c r="C69" s="7" t="s">
        <v>370</v>
      </c>
      <c r="D69" s="7" t="s">
        <v>371</v>
      </c>
      <c r="E69" s="7">
        <v>29.457886798528001</v>
      </c>
      <c r="F69" s="7" t="s">
        <v>372</v>
      </c>
      <c r="G69" s="7">
        <v>320.62996221786102</v>
      </c>
      <c r="H69" s="7" t="s">
        <v>374</v>
      </c>
      <c r="I69" s="7" t="s">
        <v>375</v>
      </c>
      <c r="J69" s="7" t="s">
        <v>376</v>
      </c>
      <c r="K69" s="7" t="s">
        <v>377</v>
      </c>
      <c r="M69" s="1" t="str">
        <f t="shared" si="33"/>
        <v>N</v>
      </c>
      <c r="N69" s="1" t="str">
        <f t="shared" si="33"/>
        <v>N</v>
      </c>
      <c r="O69" s="1" t="str">
        <f t="shared" si="33"/>
        <v>N</v>
      </c>
      <c r="P69" s="1" t="str">
        <f t="shared" si="33"/>
        <v>N</v>
      </c>
      <c r="Q69" s="1" t="str">
        <f t="shared" si="33"/>
        <v>Y</v>
      </c>
      <c r="R69" s="1" t="str">
        <f t="shared" si="33"/>
        <v>N</v>
      </c>
      <c r="S69" s="1" t="str">
        <f t="shared" si="33"/>
        <v>N</v>
      </c>
      <c r="T69" s="1" t="str">
        <f t="shared" si="34"/>
        <v>N</v>
      </c>
      <c r="U69" s="1" t="str">
        <f t="shared" si="35"/>
        <v>N</v>
      </c>
      <c r="V69" s="1" t="str">
        <f t="shared" si="36"/>
        <v>N</v>
      </c>
      <c r="Y69" s="1" t="str">
        <f t="shared" si="13"/>
        <v>N</v>
      </c>
      <c r="Z69" s="1" t="str">
        <f t="shared" si="14"/>
        <v>N</v>
      </c>
      <c r="AA69" s="1" t="str">
        <f t="shared" si="15"/>
        <v>N</v>
      </c>
      <c r="AB69" s="1" t="str">
        <f t="shared" si="16"/>
        <v>N</v>
      </c>
      <c r="AC69" s="1" t="str">
        <f t="shared" si="17"/>
        <v>Y</v>
      </c>
      <c r="AD69" s="1" t="str">
        <f t="shared" si="18"/>
        <v>N</v>
      </c>
      <c r="AE69" s="1" t="str">
        <f t="shared" si="19"/>
        <v>N</v>
      </c>
      <c r="AF69" s="1" t="str">
        <f t="shared" si="20"/>
        <v>N</v>
      </c>
      <c r="AG69" s="1" t="str">
        <f t="shared" si="21"/>
        <v>N</v>
      </c>
      <c r="AH69" s="1" t="str">
        <f t="shared" si="22"/>
        <v>N</v>
      </c>
    </row>
    <row r="70" spans="1:34" x14ac:dyDescent="0.3">
      <c r="A70" s="1" t="s">
        <v>235</v>
      </c>
      <c r="B70" s="2" t="s">
        <v>348</v>
      </c>
      <c r="C70" s="7" t="s">
        <v>370</v>
      </c>
      <c r="D70" s="7" t="s">
        <v>371</v>
      </c>
      <c r="E70" s="7">
        <v>12.6545589328961</v>
      </c>
      <c r="F70" s="7" t="s">
        <v>372</v>
      </c>
      <c r="G70" s="7">
        <v>6.9935006938031901</v>
      </c>
      <c r="H70" s="7" t="s">
        <v>374</v>
      </c>
      <c r="I70" s="7" t="s">
        <v>375</v>
      </c>
      <c r="J70" s="7" t="s">
        <v>376</v>
      </c>
      <c r="K70" s="7" t="s">
        <v>377</v>
      </c>
      <c r="M70" s="1" t="str">
        <f t="shared" ref="M70:M133" si="37">IF(AND(C70&gt;M$4,ISNUMBER(C70)),"Y","N")</f>
        <v>N</v>
      </c>
      <c r="N70" s="1" t="str">
        <f t="shared" ref="N70:N84" si="38">IF(AND(D70&gt;N$4,ISNUMBER(D70)),"Y","N")</f>
        <v>N</v>
      </c>
      <c r="O70" s="1" t="str">
        <f t="shared" ref="O70:O84" si="39">IF(AND(E70&gt;O$4,ISNUMBER(E70)),"Y","N")</f>
        <v>N</v>
      </c>
      <c r="P70" s="1" t="str">
        <f t="shared" ref="P70:P84" si="40">IF(AND(F70&gt;P$4,ISNUMBER(F70)),"Y","N")</f>
        <v>N</v>
      </c>
      <c r="Q70" s="1" t="str">
        <f t="shared" ref="Q70:Q84" si="41">IF(AND(G70&gt;Q$4,ISNUMBER(G70)),"Y","N")</f>
        <v>N</v>
      </c>
      <c r="R70" s="1" t="str">
        <f t="shared" ref="R70:R84" si="42">IF(AND(H70&gt;R$4,ISNUMBER(H70)),"Y","N")</f>
        <v>N</v>
      </c>
      <c r="S70" s="1" t="str">
        <f t="shared" ref="S70:S84" si="43">IF(AND(I70&gt;S$4,ISNUMBER(I70)),"Y","N")</f>
        <v>N</v>
      </c>
      <c r="T70" s="1" t="str">
        <f t="shared" ref="T70:T133" si="44">IF(AND(J70&lt;T$4,ISNUMBER(J70)),"Y","N")</f>
        <v>N</v>
      </c>
      <c r="U70" s="1" t="str">
        <f t="shared" si="35"/>
        <v>N</v>
      </c>
      <c r="V70" s="1" t="str">
        <f t="shared" si="36"/>
        <v>N</v>
      </c>
      <c r="Y70" s="1" t="str">
        <f t="shared" ref="Y70:Y133" si="45">IF(AND(C70&gt;Y$4,ISNUMBER(C70)),"Y","N")</f>
        <v>N</v>
      </c>
      <c r="Z70" s="1" t="str">
        <f t="shared" ref="Z70:Z133" si="46">IF(AND(D70&gt;Z$4,ISNUMBER(D70)),"Y","N")</f>
        <v>N</v>
      </c>
      <c r="AA70" s="1" t="str">
        <f t="shared" ref="AA70:AA133" si="47">IF(AND(E70&gt;AA$4,ISNUMBER(E70)),"Y","N")</f>
        <v>N</v>
      </c>
      <c r="AB70" s="1" t="str">
        <f t="shared" ref="AB70:AB133" si="48">IF(AND(F70&gt;AB$4,ISNUMBER(F70)),"Y","N")</f>
        <v>N</v>
      </c>
      <c r="AC70" s="1" t="str">
        <f t="shared" ref="AC70:AC133" si="49">IF(AND(G70&gt;AC$4,ISNUMBER(G70)),"Y","N")</f>
        <v>N</v>
      </c>
      <c r="AD70" s="1" t="str">
        <f t="shared" ref="AD70:AD133" si="50">IF(AND(H70&gt;AD$4,ISNUMBER(H70)),"Y","N")</f>
        <v>N</v>
      </c>
      <c r="AE70" s="1" t="str">
        <f t="shared" ref="AE70:AE133" si="51">IF(AND(I70&gt;AE$4,ISNUMBER(I70)),"Y","N")</f>
        <v>N</v>
      </c>
      <c r="AF70" s="1" t="str">
        <f t="shared" ref="AF70:AF133" si="52">IF(AND(J70&gt;AF$4,ISNUMBER(J70)),"Y","N")</f>
        <v>N</v>
      </c>
      <c r="AG70" s="1" t="str">
        <f t="shared" ref="AG70:AG133" si="53">IF(AND(K70&gt;AG$4,ISNUMBER(K70)),"Y","N")</f>
        <v>N</v>
      </c>
      <c r="AH70" s="1" t="str">
        <f t="shared" ref="AH70:AH133" si="54">IF(AND(L70&gt;AH$4,ISNUMBER(L70)),"Y","N")</f>
        <v>N</v>
      </c>
    </row>
    <row r="71" spans="1:34" x14ac:dyDescent="0.3">
      <c r="A71" s="1" t="s">
        <v>236</v>
      </c>
      <c r="B71" s="1" t="s">
        <v>48</v>
      </c>
      <c r="C71" s="7" t="s">
        <v>370</v>
      </c>
      <c r="D71" s="7" t="s">
        <v>371</v>
      </c>
      <c r="E71" s="7">
        <v>77.677199339479699</v>
      </c>
      <c r="F71" s="7" t="s">
        <v>372</v>
      </c>
      <c r="G71" s="7">
        <v>21.592577951387</v>
      </c>
      <c r="H71" s="7" t="s">
        <v>374</v>
      </c>
      <c r="I71" s="7" t="s">
        <v>375</v>
      </c>
      <c r="J71" s="7">
        <v>56.701094901233098</v>
      </c>
      <c r="K71" s="7" t="s">
        <v>377</v>
      </c>
      <c r="M71" s="1" t="str">
        <f t="shared" si="37"/>
        <v>N</v>
      </c>
      <c r="N71" s="1" t="str">
        <f t="shared" si="38"/>
        <v>N</v>
      </c>
      <c r="O71" s="1" t="str">
        <f t="shared" si="39"/>
        <v>N</v>
      </c>
      <c r="P71" s="1" t="str">
        <f t="shared" si="40"/>
        <v>N</v>
      </c>
      <c r="Q71" s="1" t="str">
        <f t="shared" si="41"/>
        <v>N</v>
      </c>
      <c r="R71" s="1" t="str">
        <f t="shared" si="42"/>
        <v>N</v>
      </c>
      <c r="S71" s="1" t="str">
        <f t="shared" si="43"/>
        <v>N</v>
      </c>
      <c r="T71" s="1" t="str">
        <f t="shared" si="44"/>
        <v>N</v>
      </c>
      <c r="U71" s="1" t="str">
        <f t="shared" si="35"/>
        <v>N</v>
      </c>
      <c r="V71" s="1" t="str">
        <f t="shared" si="36"/>
        <v>N</v>
      </c>
      <c r="Y71" s="1" t="str">
        <f t="shared" si="45"/>
        <v>N</v>
      </c>
      <c r="Z71" s="1" t="str">
        <f t="shared" si="46"/>
        <v>N</v>
      </c>
      <c r="AA71" s="1" t="str">
        <f t="shared" si="47"/>
        <v>N</v>
      </c>
      <c r="AB71" s="1" t="str">
        <f t="shared" si="48"/>
        <v>N</v>
      </c>
      <c r="AC71" s="1" t="str">
        <f t="shared" si="49"/>
        <v>N</v>
      </c>
      <c r="AD71" s="1" t="str">
        <f t="shared" si="50"/>
        <v>N</v>
      </c>
      <c r="AE71" s="1" t="str">
        <f t="shared" si="51"/>
        <v>N</v>
      </c>
      <c r="AF71" s="1" t="str">
        <f t="shared" si="52"/>
        <v>N</v>
      </c>
      <c r="AG71" s="1" t="str">
        <f t="shared" si="53"/>
        <v>N</v>
      </c>
      <c r="AH71" s="1" t="str">
        <f t="shared" si="54"/>
        <v>N</v>
      </c>
    </row>
    <row r="72" spans="1:34" x14ac:dyDescent="0.3">
      <c r="A72" s="1" t="s">
        <v>237</v>
      </c>
      <c r="B72" s="1" t="s">
        <v>47</v>
      </c>
      <c r="C72" s="7" t="s">
        <v>370</v>
      </c>
      <c r="D72" s="7" t="s">
        <v>371</v>
      </c>
      <c r="E72" s="7">
        <v>56.702299315442403</v>
      </c>
      <c r="F72" s="7" t="s">
        <v>372</v>
      </c>
      <c r="G72" s="7">
        <v>4.2619814029188099</v>
      </c>
      <c r="H72" s="7" t="s">
        <v>374</v>
      </c>
      <c r="I72" s="7" t="s">
        <v>375</v>
      </c>
      <c r="J72" s="7" t="s">
        <v>376</v>
      </c>
      <c r="K72" s="7" t="s">
        <v>377</v>
      </c>
      <c r="M72" s="1" t="str">
        <f t="shared" si="37"/>
        <v>N</v>
      </c>
      <c r="N72" s="1" t="str">
        <f t="shared" si="38"/>
        <v>N</v>
      </c>
      <c r="O72" s="1" t="str">
        <f t="shared" si="39"/>
        <v>N</v>
      </c>
      <c r="P72" s="1" t="str">
        <f t="shared" si="40"/>
        <v>N</v>
      </c>
      <c r="Q72" s="1" t="str">
        <f t="shared" si="41"/>
        <v>N</v>
      </c>
      <c r="R72" s="1" t="str">
        <f t="shared" si="42"/>
        <v>N</v>
      </c>
      <c r="S72" s="1" t="str">
        <f t="shared" si="43"/>
        <v>N</v>
      </c>
      <c r="T72" s="1" t="str">
        <f t="shared" si="44"/>
        <v>N</v>
      </c>
      <c r="U72" s="1" t="str">
        <f t="shared" si="35"/>
        <v>N</v>
      </c>
      <c r="V72" s="1" t="str">
        <f t="shared" si="36"/>
        <v>N</v>
      </c>
      <c r="Y72" s="1" t="str">
        <f t="shared" si="45"/>
        <v>N</v>
      </c>
      <c r="Z72" s="1" t="str">
        <f t="shared" si="46"/>
        <v>N</v>
      </c>
      <c r="AA72" s="1" t="str">
        <f t="shared" si="47"/>
        <v>N</v>
      </c>
      <c r="AB72" s="1" t="str">
        <f t="shared" si="48"/>
        <v>N</v>
      </c>
      <c r="AC72" s="1" t="str">
        <f t="shared" si="49"/>
        <v>N</v>
      </c>
      <c r="AD72" s="1" t="str">
        <f t="shared" si="50"/>
        <v>N</v>
      </c>
      <c r="AE72" s="1" t="str">
        <f t="shared" si="51"/>
        <v>N</v>
      </c>
      <c r="AF72" s="1" t="str">
        <f t="shared" si="52"/>
        <v>N</v>
      </c>
      <c r="AG72" s="1" t="str">
        <f t="shared" si="53"/>
        <v>N</v>
      </c>
      <c r="AH72" s="1" t="str">
        <f t="shared" si="54"/>
        <v>N</v>
      </c>
    </row>
    <row r="73" spans="1:34" x14ac:dyDescent="0.3">
      <c r="A73" s="1" t="s">
        <v>238</v>
      </c>
      <c r="B73" s="1" t="s">
        <v>18</v>
      </c>
      <c r="C73" s="7" t="s">
        <v>370</v>
      </c>
      <c r="D73" s="7" t="s">
        <v>371</v>
      </c>
      <c r="E73" s="7">
        <v>9.18414397217221</v>
      </c>
      <c r="F73" s="7" t="s">
        <v>372</v>
      </c>
      <c r="G73" s="7" t="s">
        <v>373</v>
      </c>
      <c r="H73" s="7" t="s">
        <v>374</v>
      </c>
      <c r="I73" s="7" t="s">
        <v>375</v>
      </c>
      <c r="J73" s="7" t="s">
        <v>376</v>
      </c>
      <c r="K73" s="7" t="s">
        <v>377</v>
      </c>
      <c r="M73" s="1" t="str">
        <f t="shared" si="37"/>
        <v>N</v>
      </c>
      <c r="N73" s="1" t="str">
        <f t="shared" si="38"/>
        <v>N</v>
      </c>
      <c r="O73" s="1" t="str">
        <f t="shared" si="39"/>
        <v>N</v>
      </c>
      <c r="P73" s="1" t="str">
        <f t="shared" si="40"/>
        <v>N</v>
      </c>
      <c r="Q73" s="1" t="str">
        <f t="shared" si="41"/>
        <v>N</v>
      </c>
      <c r="R73" s="1" t="str">
        <f t="shared" si="42"/>
        <v>N</v>
      </c>
      <c r="S73" s="1" t="str">
        <f t="shared" si="43"/>
        <v>N</v>
      </c>
      <c r="T73" s="1" t="str">
        <f t="shared" si="44"/>
        <v>N</v>
      </c>
      <c r="U73" s="1" t="str">
        <f t="shared" si="35"/>
        <v>N</v>
      </c>
      <c r="V73" s="1" t="str">
        <f t="shared" si="36"/>
        <v>N</v>
      </c>
      <c r="Y73" s="1" t="str">
        <f t="shared" si="45"/>
        <v>N</v>
      </c>
      <c r="Z73" s="1" t="str">
        <f t="shared" si="46"/>
        <v>N</v>
      </c>
      <c r="AA73" s="1" t="str">
        <f t="shared" si="47"/>
        <v>N</v>
      </c>
      <c r="AB73" s="1" t="str">
        <f t="shared" si="48"/>
        <v>N</v>
      </c>
      <c r="AC73" s="1" t="str">
        <f t="shared" si="49"/>
        <v>N</v>
      </c>
      <c r="AD73" s="1" t="str">
        <f t="shared" si="50"/>
        <v>N</v>
      </c>
      <c r="AE73" s="1" t="str">
        <f t="shared" si="51"/>
        <v>N</v>
      </c>
      <c r="AF73" s="1" t="str">
        <f t="shared" si="52"/>
        <v>N</v>
      </c>
      <c r="AG73" s="1" t="str">
        <f t="shared" si="53"/>
        <v>N</v>
      </c>
      <c r="AH73" s="1" t="str">
        <f t="shared" si="54"/>
        <v>N</v>
      </c>
    </row>
    <row r="74" spans="1:34" x14ac:dyDescent="0.3">
      <c r="A74" s="1" t="s">
        <v>239</v>
      </c>
      <c r="B74" s="1" t="s">
        <v>17</v>
      </c>
      <c r="C74" s="7" t="s">
        <v>370</v>
      </c>
      <c r="D74" s="7" t="s">
        <v>371</v>
      </c>
      <c r="E74" s="7">
        <v>52.995127152681</v>
      </c>
      <c r="F74" s="7" t="s">
        <v>372</v>
      </c>
      <c r="G74" s="7" t="s">
        <v>373</v>
      </c>
      <c r="H74" s="7">
        <v>59.006397334207897</v>
      </c>
      <c r="I74" s="7" t="s">
        <v>375</v>
      </c>
      <c r="J74" s="7" t="s">
        <v>376</v>
      </c>
      <c r="K74" s="7" t="s">
        <v>377</v>
      </c>
      <c r="M74" s="1" t="str">
        <f t="shared" si="37"/>
        <v>N</v>
      </c>
      <c r="N74" s="1" t="str">
        <f t="shared" si="38"/>
        <v>N</v>
      </c>
      <c r="O74" s="1" t="str">
        <f t="shared" si="39"/>
        <v>N</v>
      </c>
      <c r="P74" s="1" t="str">
        <f t="shared" si="40"/>
        <v>N</v>
      </c>
      <c r="Q74" s="1" t="str">
        <f t="shared" si="41"/>
        <v>N</v>
      </c>
      <c r="R74" s="1" t="str">
        <f t="shared" si="42"/>
        <v>N</v>
      </c>
      <c r="S74" s="1" t="str">
        <f t="shared" si="43"/>
        <v>N</v>
      </c>
      <c r="T74" s="1" t="str">
        <f t="shared" si="44"/>
        <v>N</v>
      </c>
      <c r="U74" s="1" t="str">
        <f t="shared" si="35"/>
        <v>N</v>
      </c>
      <c r="V74" s="1" t="str">
        <f t="shared" si="36"/>
        <v>N</v>
      </c>
      <c r="Y74" s="1" t="str">
        <f t="shared" si="45"/>
        <v>N</v>
      </c>
      <c r="Z74" s="1" t="str">
        <f t="shared" si="46"/>
        <v>N</v>
      </c>
      <c r="AA74" s="1" t="str">
        <f t="shared" si="47"/>
        <v>N</v>
      </c>
      <c r="AB74" s="1" t="str">
        <f t="shared" si="48"/>
        <v>N</v>
      </c>
      <c r="AC74" s="1" t="str">
        <f t="shared" si="49"/>
        <v>N</v>
      </c>
      <c r="AD74" s="1" t="str">
        <f t="shared" si="50"/>
        <v>N</v>
      </c>
      <c r="AE74" s="1" t="str">
        <f t="shared" si="51"/>
        <v>N</v>
      </c>
      <c r="AF74" s="1" t="str">
        <f t="shared" si="52"/>
        <v>N</v>
      </c>
      <c r="AG74" s="1" t="str">
        <f t="shared" si="53"/>
        <v>N</v>
      </c>
      <c r="AH74" s="1" t="str">
        <f t="shared" si="54"/>
        <v>N</v>
      </c>
    </row>
    <row r="75" spans="1:34" x14ac:dyDescent="0.3">
      <c r="A75" s="1" t="s">
        <v>240</v>
      </c>
      <c r="B75" s="1" t="s">
        <v>12</v>
      </c>
      <c r="C75" s="7" t="s">
        <v>370</v>
      </c>
      <c r="D75" s="7" t="s">
        <v>371</v>
      </c>
      <c r="E75" s="7">
        <v>42.140732700248499</v>
      </c>
      <c r="F75" s="7" t="s">
        <v>372</v>
      </c>
      <c r="G75" s="7" t="s">
        <v>373</v>
      </c>
      <c r="H75" s="7" t="s">
        <v>374</v>
      </c>
      <c r="I75" s="7" t="s">
        <v>375</v>
      </c>
      <c r="J75" s="7" t="s">
        <v>376</v>
      </c>
      <c r="K75" s="7" t="s">
        <v>377</v>
      </c>
      <c r="M75" s="1" t="str">
        <f t="shared" si="37"/>
        <v>N</v>
      </c>
      <c r="N75" s="1" t="str">
        <f t="shared" si="38"/>
        <v>N</v>
      </c>
      <c r="O75" s="1" t="str">
        <f t="shared" si="39"/>
        <v>N</v>
      </c>
      <c r="P75" s="1" t="str">
        <f t="shared" si="40"/>
        <v>N</v>
      </c>
      <c r="Q75" s="1" t="str">
        <f t="shared" si="41"/>
        <v>N</v>
      </c>
      <c r="R75" s="1" t="str">
        <f t="shared" si="42"/>
        <v>N</v>
      </c>
      <c r="S75" s="1" t="str">
        <f t="shared" si="43"/>
        <v>N</v>
      </c>
      <c r="T75" s="1" t="str">
        <f t="shared" si="44"/>
        <v>N</v>
      </c>
      <c r="U75" s="1" t="str">
        <f t="shared" si="35"/>
        <v>N</v>
      </c>
      <c r="V75" s="1" t="str">
        <f t="shared" si="36"/>
        <v>N</v>
      </c>
      <c r="Y75" s="1" t="str">
        <f t="shared" si="45"/>
        <v>N</v>
      </c>
      <c r="Z75" s="1" t="str">
        <f t="shared" si="46"/>
        <v>N</v>
      </c>
      <c r="AA75" s="1" t="str">
        <f t="shared" si="47"/>
        <v>N</v>
      </c>
      <c r="AB75" s="1" t="str">
        <f t="shared" si="48"/>
        <v>N</v>
      </c>
      <c r="AC75" s="1" t="str">
        <f t="shared" si="49"/>
        <v>N</v>
      </c>
      <c r="AD75" s="1" t="str">
        <f t="shared" si="50"/>
        <v>N</v>
      </c>
      <c r="AE75" s="1" t="str">
        <f t="shared" si="51"/>
        <v>N</v>
      </c>
      <c r="AF75" s="1" t="str">
        <f t="shared" si="52"/>
        <v>N</v>
      </c>
      <c r="AG75" s="1" t="str">
        <f t="shared" si="53"/>
        <v>N</v>
      </c>
      <c r="AH75" s="1" t="str">
        <f t="shared" si="54"/>
        <v>N</v>
      </c>
    </row>
    <row r="76" spans="1:34" x14ac:dyDescent="0.3">
      <c r="A76" s="1" t="s">
        <v>241</v>
      </c>
      <c r="B76" s="1" t="s">
        <v>11</v>
      </c>
      <c r="C76" s="7" t="s">
        <v>370</v>
      </c>
      <c r="D76" s="7" t="s">
        <v>371</v>
      </c>
      <c r="E76" s="7">
        <v>220.76648937448201</v>
      </c>
      <c r="F76" s="7" t="s">
        <v>372</v>
      </c>
      <c r="G76" s="7" t="s">
        <v>373</v>
      </c>
      <c r="H76" s="7" t="s">
        <v>374</v>
      </c>
      <c r="I76" s="7" t="s">
        <v>375</v>
      </c>
      <c r="J76" s="7" t="s">
        <v>376</v>
      </c>
      <c r="K76" s="7">
        <v>157.744755174115</v>
      </c>
      <c r="M76" s="1" t="str">
        <f t="shared" si="37"/>
        <v>N</v>
      </c>
      <c r="N76" s="1" t="str">
        <f t="shared" si="38"/>
        <v>N</v>
      </c>
      <c r="O76" s="1" t="str">
        <f t="shared" si="39"/>
        <v>N</v>
      </c>
      <c r="P76" s="1" t="str">
        <f t="shared" si="40"/>
        <v>N</v>
      </c>
      <c r="Q76" s="1" t="str">
        <f t="shared" si="41"/>
        <v>N</v>
      </c>
      <c r="R76" s="1" t="str">
        <f t="shared" si="42"/>
        <v>N</v>
      </c>
      <c r="S76" s="1" t="str">
        <f t="shared" si="43"/>
        <v>N</v>
      </c>
      <c r="T76" s="1" t="str">
        <f t="shared" si="44"/>
        <v>N</v>
      </c>
      <c r="U76" s="1" t="str">
        <f t="shared" si="35"/>
        <v>N</v>
      </c>
      <c r="V76" s="1" t="str">
        <f t="shared" si="36"/>
        <v>N</v>
      </c>
      <c r="Y76" s="1" t="str">
        <f t="shared" si="45"/>
        <v>N</v>
      </c>
      <c r="Z76" s="1" t="str">
        <f t="shared" si="46"/>
        <v>N</v>
      </c>
      <c r="AA76" s="1" t="str">
        <f t="shared" si="47"/>
        <v>N</v>
      </c>
      <c r="AB76" s="1" t="str">
        <f t="shared" si="48"/>
        <v>N</v>
      </c>
      <c r="AC76" s="1" t="str">
        <f t="shared" si="49"/>
        <v>N</v>
      </c>
      <c r="AD76" s="1" t="str">
        <f t="shared" si="50"/>
        <v>N</v>
      </c>
      <c r="AE76" s="1" t="str">
        <f t="shared" si="51"/>
        <v>N</v>
      </c>
      <c r="AF76" s="1" t="str">
        <f t="shared" si="52"/>
        <v>N</v>
      </c>
      <c r="AG76" s="1" t="str">
        <f t="shared" si="53"/>
        <v>N</v>
      </c>
      <c r="AH76" s="1" t="str">
        <f t="shared" si="54"/>
        <v>N</v>
      </c>
    </row>
    <row r="77" spans="1:34" x14ac:dyDescent="0.3">
      <c r="A77" s="1" t="s">
        <v>242</v>
      </c>
      <c r="B77" s="1" t="s">
        <v>61</v>
      </c>
      <c r="C77" s="7" t="s">
        <v>370</v>
      </c>
      <c r="D77" s="7" t="s">
        <v>371</v>
      </c>
      <c r="E77" s="7">
        <v>35.103234666317803</v>
      </c>
      <c r="F77" s="7" t="s">
        <v>372</v>
      </c>
      <c r="G77" s="7">
        <v>26.749322528583999</v>
      </c>
      <c r="H77" s="7" t="s">
        <v>374</v>
      </c>
      <c r="I77" s="7" t="s">
        <v>375</v>
      </c>
      <c r="J77" s="7" t="s">
        <v>376</v>
      </c>
      <c r="K77" s="7" t="s">
        <v>377</v>
      </c>
      <c r="M77" s="1" t="str">
        <f t="shared" si="37"/>
        <v>N</v>
      </c>
      <c r="N77" s="1" t="str">
        <f t="shared" si="38"/>
        <v>N</v>
      </c>
      <c r="O77" s="1" t="str">
        <f t="shared" si="39"/>
        <v>N</v>
      </c>
      <c r="P77" s="1" t="str">
        <f t="shared" si="40"/>
        <v>N</v>
      </c>
      <c r="Q77" s="1" t="str">
        <f t="shared" si="41"/>
        <v>N</v>
      </c>
      <c r="R77" s="1" t="str">
        <f t="shared" si="42"/>
        <v>N</v>
      </c>
      <c r="S77" s="1" t="str">
        <f t="shared" si="43"/>
        <v>N</v>
      </c>
      <c r="T77" s="1" t="str">
        <f t="shared" si="44"/>
        <v>N</v>
      </c>
      <c r="U77" s="1" t="str">
        <f t="shared" si="35"/>
        <v>N</v>
      </c>
      <c r="V77" s="1" t="str">
        <f t="shared" si="36"/>
        <v>N</v>
      </c>
      <c r="Y77" s="1" t="str">
        <f t="shared" si="45"/>
        <v>N</v>
      </c>
      <c r="Z77" s="1" t="str">
        <f t="shared" si="46"/>
        <v>N</v>
      </c>
      <c r="AA77" s="1" t="str">
        <f t="shared" si="47"/>
        <v>N</v>
      </c>
      <c r="AB77" s="1" t="str">
        <f t="shared" si="48"/>
        <v>N</v>
      </c>
      <c r="AC77" s="1" t="str">
        <f t="shared" si="49"/>
        <v>N</v>
      </c>
      <c r="AD77" s="1" t="str">
        <f t="shared" si="50"/>
        <v>N</v>
      </c>
      <c r="AE77" s="1" t="str">
        <f t="shared" si="51"/>
        <v>N</v>
      </c>
      <c r="AF77" s="1" t="str">
        <f t="shared" si="52"/>
        <v>N</v>
      </c>
      <c r="AG77" s="1" t="str">
        <f t="shared" si="53"/>
        <v>N</v>
      </c>
      <c r="AH77" s="1" t="str">
        <f t="shared" si="54"/>
        <v>N</v>
      </c>
    </row>
    <row r="78" spans="1:34" x14ac:dyDescent="0.3">
      <c r="A78" s="1" t="s">
        <v>243</v>
      </c>
      <c r="B78" s="1" t="s">
        <v>85</v>
      </c>
      <c r="C78" s="7" t="s">
        <v>370</v>
      </c>
      <c r="D78" s="7" t="s">
        <v>371</v>
      </c>
      <c r="E78" s="7">
        <v>66.352672703225096</v>
      </c>
      <c r="F78" s="7" t="s">
        <v>372</v>
      </c>
      <c r="G78" s="7" t="s">
        <v>373</v>
      </c>
      <c r="H78" s="7" t="s">
        <v>374</v>
      </c>
      <c r="I78" s="7" t="s">
        <v>375</v>
      </c>
      <c r="J78" s="7" t="s">
        <v>376</v>
      </c>
      <c r="K78" s="7" t="s">
        <v>377</v>
      </c>
      <c r="M78" s="1" t="str">
        <f t="shared" si="37"/>
        <v>N</v>
      </c>
      <c r="N78" s="1" t="str">
        <f t="shared" si="38"/>
        <v>N</v>
      </c>
      <c r="O78" s="1" t="str">
        <f t="shared" si="39"/>
        <v>N</v>
      </c>
      <c r="P78" s="1" t="str">
        <f t="shared" si="40"/>
        <v>N</v>
      </c>
      <c r="Q78" s="1" t="str">
        <f t="shared" si="41"/>
        <v>N</v>
      </c>
      <c r="R78" s="1" t="str">
        <f t="shared" si="42"/>
        <v>N</v>
      </c>
      <c r="S78" s="1" t="str">
        <f t="shared" si="43"/>
        <v>N</v>
      </c>
      <c r="T78" s="1" t="str">
        <f t="shared" si="44"/>
        <v>N</v>
      </c>
      <c r="U78" s="1" t="str">
        <f t="shared" si="35"/>
        <v>N</v>
      </c>
      <c r="V78" s="1" t="str">
        <f t="shared" si="36"/>
        <v>N</v>
      </c>
      <c r="Y78" s="1" t="str">
        <f t="shared" si="45"/>
        <v>N</v>
      </c>
      <c r="Z78" s="1" t="str">
        <f t="shared" si="46"/>
        <v>N</v>
      </c>
      <c r="AA78" s="1" t="str">
        <f t="shared" si="47"/>
        <v>N</v>
      </c>
      <c r="AB78" s="1" t="str">
        <f t="shared" si="48"/>
        <v>N</v>
      </c>
      <c r="AC78" s="1" t="str">
        <f t="shared" si="49"/>
        <v>N</v>
      </c>
      <c r="AD78" s="1" t="str">
        <f t="shared" si="50"/>
        <v>N</v>
      </c>
      <c r="AE78" s="1" t="str">
        <f t="shared" si="51"/>
        <v>N</v>
      </c>
      <c r="AF78" s="1" t="str">
        <f t="shared" si="52"/>
        <v>N</v>
      </c>
      <c r="AG78" s="1" t="str">
        <f t="shared" si="53"/>
        <v>N</v>
      </c>
      <c r="AH78" s="1" t="str">
        <f t="shared" si="54"/>
        <v>N</v>
      </c>
    </row>
    <row r="79" spans="1:34" x14ac:dyDescent="0.3">
      <c r="A79" s="1" t="s">
        <v>244</v>
      </c>
      <c r="B79" s="1" t="s">
        <v>59</v>
      </c>
      <c r="C79" s="7" t="s">
        <v>370</v>
      </c>
      <c r="D79" s="7" t="s">
        <v>371</v>
      </c>
      <c r="E79" s="7">
        <v>44.766240740040303</v>
      </c>
      <c r="F79" s="7" t="s">
        <v>372</v>
      </c>
      <c r="G79" s="7">
        <v>39.103570523710097</v>
      </c>
      <c r="H79" s="7" t="s">
        <v>374</v>
      </c>
      <c r="I79" s="7" t="s">
        <v>375</v>
      </c>
      <c r="J79" s="7" t="s">
        <v>376</v>
      </c>
      <c r="K79" s="7" t="s">
        <v>377</v>
      </c>
      <c r="M79" s="1" t="str">
        <f t="shared" si="37"/>
        <v>N</v>
      </c>
      <c r="N79" s="1" t="str">
        <f t="shared" si="38"/>
        <v>N</v>
      </c>
      <c r="O79" s="1" t="str">
        <f t="shared" si="39"/>
        <v>N</v>
      </c>
      <c r="P79" s="1" t="str">
        <f t="shared" si="40"/>
        <v>N</v>
      </c>
      <c r="Q79" s="1" t="str">
        <f t="shared" si="41"/>
        <v>N</v>
      </c>
      <c r="R79" s="1" t="str">
        <f t="shared" si="42"/>
        <v>N</v>
      </c>
      <c r="S79" s="1" t="str">
        <f t="shared" si="43"/>
        <v>N</v>
      </c>
      <c r="T79" s="1" t="str">
        <f t="shared" si="44"/>
        <v>N</v>
      </c>
      <c r="U79" s="1" t="str">
        <f t="shared" si="35"/>
        <v>N</v>
      </c>
      <c r="V79" s="1" t="str">
        <f t="shared" si="36"/>
        <v>N</v>
      </c>
      <c r="Y79" s="1" t="str">
        <f t="shared" si="45"/>
        <v>N</v>
      </c>
      <c r="Z79" s="1" t="str">
        <f t="shared" si="46"/>
        <v>N</v>
      </c>
      <c r="AA79" s="1" t="str">
        <f t="shared" si="47"/>
        <v>N</v>
      </c>
      <c r="AB79" s="1" t="str">
        <f t="shared" si="48"/>
        <v>N</v>
      </c>
      <c r="AC79" s="1" t="str">
        <f t="shared" si="49"/>
        <v>N</v>
      </c>
      <c r="AD79" s="1" t="str">
        <f t="shared" si="50"/>
        <v>N</v>
      </c>
      <c r="AE79" s="1" t="str">
        <f t="shared" si="51"/>
        <v>N</v>
      </c>
      <c r="AF79" s="1" t="str">
        <f t="shared" si="52"/>
        <v>N</v>
      </c>
      <c r="AG79" s="1" t="str">
        <f t="shared" si="53"/>
        <v>N</v>
      </c>
      <c r="AH79" s="1" t="str">
        <f t="shared" si="54"/>
        <v>N</v>
      </c>
    </row>
    <row r="80" spans="1:34" x14ac:dyDescent="0.3">
      <c r="A80" s="1" t="s">
        <v>245</v>
      </c>
      <c r="B80" s="1" t="s">
        <v>57</v>
      </c>
      <c r="C80" s="7" t="s">
        <v>370</v>
      </c>
      <c r="D80" s="7" t="s">
        <v>371</v>
      </c>
      <c r="E80" s="7">
        <v>19.729644798526198</v>
      </c>
      <c r="F80" s="7" t="s">
        <v>372</v>
      </c>
      <c r="G80" s="7" t="s">
        <v>373</v>
      </c>
      <c r="H80" s="7" t="s">
        <v>374</v>
      </c>
      <c r="I80" s="7" t="s">
        <v>375</v>
      </c>
      <c r="J80" s="7" t="s">
        <v>376</v>
      </c>
      <c r="K80" s="7" t="s">
        <v>377</v>
      </c>
      <c r="M80" s="1" t="str">
        <f t="shared" si="37"/>
        <v>N</v>
      </c>
      <c r="N80" s="1" t="str">
        <f t="shared" si="38"/>
        <v>N</v>
      </c>
      <c r="O80" s="1" t="str">
        <f t="shared" si="39"/>
        <v>N</v>
      </c>
      <c r="P80" s="1" t="str">
        <f t="shared" si="40"/>
        <v>N</v>
      </c>
      <c r="Q80" s="1" t="str">
        <f t="shared" si="41"/>
        <v>N</v>
      </c>
      <c r="R80" s="1" t="str">
        <f t="shared" si="42"/>
        <v>N</v>
      </c>
      <c r="S80" s="1" t="str">
        <f t="shared" si="43"/>
        <v>N</v>
      </c>
      <c r="T80" s="1" t="str">
        <f t="shared" si="44"/>
        <v>N</v>
      </c>
      <c r="U80" s="1" t="str">
        <f t="shared" si="35"/>
        <v>N</v>
      </c>
      <c r="V80" s="1" t="str">
        <f t="shared" si="36"/>
        <v>N</v>
      </c>
      <c r="Y80" s="1" t="str">
        <f t="shared" si="45"/>
        <v>N</v>
      </c>
      <c r="Z80" s="1" t="str">
        <f t="shared" si="46"/>
        <v>N</v>
      </c>
      <c r="AA80" s="1" t="str">
        <f t="shared" si="47"/>
        <v>N</v>
      </c>
      <c r="AB80" s="1" t="str">
        <f t="shared" si="48"/>
        <v>N</v>
      </c>
      <c r="AC80" s="1" t="str">
        <f t="shared" si="49"/>
        <v>N</v>
      </c>
      <c r="AD80" s="1" t="str">
        <f t="shared" si="50"/>
        <v>N</v>
      </c>
      <c r="AE80" s="1" t="str">
        <f t="shared" si="51"/>
        <v>N</v>
      </c>
      <c r="AF80" s="1" t="str">
        <f t="shared" si="52"/>
        <v>N</v>
      </c>
      <c r="AG80" s="1" t="str">
        <f t="shared" si="53"/>
        <v>N</v>
      </c>
      <c r="AH80" s="1" t="str">
        <f t="shared" si="54"/>
        <v>N</v>
      </c>
    </row>
    <row r="81" spans="1:34" x14ac:dyDescent="0.3">
      <c r="A81" s="1" t="s">
        <v>246</v>
      </c>
      <c r="B81" s="1" t="s">
        <v>131</v>
      </c>
      <c r="C81" s="7" t="s">
        <v>370</v>
      </c>
      <c r="D81" s="7" t="s">
        <v>371</v>
      </c>
      <c r="E81" s="7">
        <v>104.839446088438</v>
      </c>
      <c r="F81" s="7" t="s">
        <v>372</v>
      </c>
      <c r="G81" s="7">
        <v>3.7227370478514401</v>
      </c>
      <c r="H81" s="7" t="s">
        <v>374</v>
      </c>
      <c r="I81" s="7" t="s">
        <v>375</v>
      </c>
      <c r="J81" s="7" t="s">
        <v>376</v>
      </c>
      <c r="K81" s="7" t="s">
        <v>377</v>
      </c>
      <c r="M81" s="1" t="str">
        <f t="shared" si="37"/>
        <v>N</v>
      </c>
      <c r="N81" s="1" t="str">
        <f t="shared" si="38"/>
        <v>N</v>
      </c>
      <c r="O81" s="1" t="str">
        <f t="shared" si="39"/>
        <v>N</v>
      </c>
      <c r="P81" s="1" t="str">
        <f t="shared" si="40"/>
        <v>N</v>
      </c>
      <c r="Q81" s="1" t="str">
        <f t="shared" si="41"/>
        <v>N</v>
      </c>
      <c r="R81" s="1" t="str">
        <f t="shared" si="42"/>
        <v>N</v>
      </c>
      <c r="S81" s="1" t="str">
        <f t="shared" si="43"/>
        <v>N</v>
      </c>
      <c r="T81" s="1" t="str">
        <f t="shared" si="44"/>
        <v>N</v>
      </c>
      <c r="U81" s="1" t="str">
        <f t="shared" si="35"/>
        <v>N</v>
      </c>
      <c r="V81" s="1" t="str">
        <f t="shared" si="36"/>
        <v>N</v>
      </c>
      <c r="Y81" s="1" t="str">
        <f t="shared" si="45"/>
        <v>N</v>
      </c>
      <c r="Z81" s="1" t="str">
        <f t="shared" si="46"/>
        <v>N</v>
      </c>
      <c r="AA81" s="1" t="str">
        <f t="shared" si="47"/>
        <v>N</v>
      </c>
      <c r="AB81" s="1" t="str">
        <f t="shared" si="48"/>
        <v>N</v>
      </c>
      <c r="AC81" s="1" t="str">
        <f t="shared" si="49"/>
        <v>N</v>
      </c>
      <c r="AD81" s="1" t="str">
        <f t="shared" si="50"/>
        <v>N</v>
      </c>
      <c r="AE81" s="1" t="str">
        <f t="shared" si="51"/>
        <v>N</v>
      </c>
      <c r="AF81" s="1" t="str">
        <f t="shared" si="52"/>
        <v>N</v>
      </c>
      <c r="AG81" s="1" t="str">
        <f t="shared" si="53"/>
        <v>N</v>
      </c>
      <c r="AH81" s="1" t="str">
        <f t="shared" si="54"/>
        <v>N</v>
      </c>
    </row>
    <row r="82" spans="1:34" x14ac:dyDescent="0.3">
      <c r="A82" s="1" t="s">
        <v>247</v>
      </c>
      <c r="B82" s="1" t="s">
        <v>124</v>
      </c>
      <c r="C82" s="7" t="s">
        <v>370</v>
      </c>
      <c r="D82" s="7" t="s">
        <v>371</v>
      </c>
      <c r="E82" s="7">
        <v>46.377342000827497</v>
      </c>
      <c r="F82" s="7" t="s">
        <v>372</v>
      </c>
      <c r="G82" s="7">
        <v>3.71620391188821</v>
      </c>
      <c r="H82" s="7" t="s">
        <v>374</v>
      </c>
      <c r="I82" s="7" t="s">
        <v>375</v>
      </c>
      <c r="J82" s="7" t="s">
        <v>376</v>
      </c>
      <c r="K82" s="7" t="s">
        <v>377</v>
      </c>
      <c r="M82" s="1" t="str">
        <f t="shared" si="37"/>
        <v>N</v>
      </c>
      <c r="N82" s="1" t="str">
        <f t="shared" si="38"/>
        <v>N</v>
      </c>
      <c r="O82" s="1" t="str">
        <f t="shared" si="39"/>
        <v>N</v>
      </c>
      <c r="P82" s="1" t="str">
        <f t="shared" si="40"/>
        <v>N</v>
      </c>
      <c r="Q82" s="1" t="str">
        <f t="shared" si="41"/>
        <v>N</v>
      </c>
      <c r="R82" s="1" t="str">
        <f t="shared" si="42"/>
        <v>N</v>
      </c>
      <c r="S82" s="1" t="str">
        <f t="shared" si="43"/>
        <v>N</v>
      </c>
      <c r="T82" s="1" t="str">
        <f t="shared" si="44"/>
        <v>N</v>
      </c>
      <c r="U82" s="1" t="str">
        <f t="shared" si="35"/>
        <v>N</v>
      </c>
      <c r="V82" s="1" t="str">
        <f t="shared" si="36"/>
        <v>N</v>
      </c>
      <c r="Y82" s="1" t="str">
        <f t="shared" si="45"/>
        <v>N</v>
      </c>
      <c r="Z82" s="1" t="str">
        <f t="shared" si="46"/>
        <v>N</v>
      </c>
      <c r="AA82" s="1" t="str">
        <f t="shared" si="47"/>
        <v>N</v>
      </c>
      <c r="AB82" s="1" t="str">
        <f t="shared" si="48"/>
        <v>N</v>
      </c>
      <c r="AC82" s="1" t="str">
        <f t="shared" si="49"/>
        <v>N</v>
      </c>
      <c r="AD82" s="1" t="str">
        <f t="shared" si="50"/>
        <v>N</v>
      </c>
      <c r="AE82" s="1" t="str">
        <f t="shared" si="51"/>
        <v>N</v>
      </c>
      <c r="AF82" s="1" t="str">
        <f t="shared" si="52"/>
        <v>N</v>
      </c>
      <c r="AG82" s="1" t="str">
        <f t="shared" si="53"/>
        <v>N</v>
      </c>
      <c r="AH82" s="1" t="str">
        <f t="shared" si="54"/>
        <v>N</v>
      </c>
    </row>
    <row r="83" spans="1:34" x14ac:dyDescent="0.3">
      <c r="A83" s="1" t="s">
        <v>248</v>
      </c>
      <c r="B83" s="1" t="s">
        <v>122</v>
      </c>
      <c r="C83" s="7" t="s">
        <v>370</v>
      </c>
      <c r="D83" s="7" t="s">
        <v>371</v>
      </c>
      <c r="E83" s="7">
        <v>55.664560700185397</v>
      </c>
      <c r="F83" s="7" t="s">
        <v>372</v>
      </c>
      <c r="G83" s="7">
        <v>4.3531023043910198</v>
      </c>
      <c r="H83" s="7" t="s">
        <v>374</v>
      </c>
      <c r="I83" s="7" t="s">
        <v>375</v>
      </c>
      <c r="J83" s="7" t="s">
        <v>376</v>
      </c>
      <c r="K83" s="7" t="s">
        <v>377</v>
      </c>
      <c r="M83" s="1" t="str">
        <f t="shared" si="37"/>
        <v>N</v>
      </c>
      <c r="N83" s="1" t="str">
        <f t="shared" si="38"/>
        <v>N</v>
      </c>
      <c r="O83" s="1" t="str">
        <f t="shared" si="39"/>
        <v>N</v>
      </c>
      <c r="P83" s="1" t="str">
        <f t="shared" si="40"/>
        <v>N</v>
      </c>
      <c r="Q83" s="1" t="str">
        <f t="shared" si="41"/>
        <v>N</v>
      </c>
      <c r="R83" s="1" t="str">
        <f t="shared" si="42"/>
        <v>N</v>
      </c>
      <c r="S83" s="1" t="str">
        <f t="shared" si="43"/>
        <v>N</v>
      </c>
      <c r="T83" s="1" t="str">
        <f t="shared" si="44"/>
        <v>N</v>
      </c>
      <c r="U83" s="1" t="str">
        <f t="shared" si="35"/>
        <v>N</v>
      </c>
      <c r="V83" s="1" t="str">
        <f t="shared" si="36"/>
        <v>N</v>
      </c>
      <c r="Y83" s="1" t="str">
        <f t="shared" si="45"/>
        <v>N</v>
      </c>
      <c r="Z83" s="1" t="str">
        <f t="shared" si="46"/>
        <v>N</v>
      </c>
      <c r="AA83" s="1" t="str">
        <f t="shared" si="47"/>
        <v>N</v>
      </c>
      <c r="AB83" s="1" t="str">
        <f t="shared" si="48"/>
        <v>N</v>
      </c>
      <c r="AC83" s="1" t="str">
        <f t="shared" si="49"/>
        <v>N</v>
      </c>
      <c r="AD83" s="1" t="str">
        <f t="shared" si="50"/>
        <v>N</v>
      </c>
      <c r="AE83" s="1" t="str">
        <f t="shared" si="51"/>
        <v>N</v>
      </c>
      <c r="AF83" s="1" t="str">
        <f t="shared" si="52"/>
        <v>N</v>
      </c>
      <c r="AG83" s="1" t="str">
        <f t="shared" si="53"/>
        <v>N</v>
      </c>
      <c r="AH83" s="1" t="str">
        <f t="shared" si="54"/>
        <v>N</v>
      </c>
    </row>
    <row r="84" spans="1:34" x14ac:dyDescent="0.3">
      <c r="A84" s="1" t="s">
        <v>249</v>
      </c>
      <c r="B84" s="1" t="s">
        <v>127</v>
      </c>
      <c r="C84" s="7" t="s">
        <v>370</v>
      </c>
      <c r="D84" s="7" t="s">
        <v>371</v>
      </c>
      <c r="E84" s="7">
        <v>30.1976155015596</v>
      </c>
      <c r="F84" s="7" t="s">
        <v>372</v>
      </c>
      <c r="G84" s="7">
        <v>10.168433711687101</v>
      </c>
      <c r="H84" s="7" t="s">
        <v>374</v>
      </c>
      <c r="I84" s="7" t="s">
        <v>375</v>
      </c>
      <c r="J84" s="7" t="s">
        <v>376</v>
      </c>
      <c r="K84" s="7" t="s">
        <v>377</v>
      </c>
      <c r="M84" s="1" t="str">
        <f t="shared" si="37"/>
        <v>N</v>
      </c>
      <c r="N84" s="1" t="str">
        <f t="shared" si="38"/>
        <v>N</v>
      </c>
      <c r="O84" s="1" t="str">
        <f t="shared" si="39"/>
        <v>N</v>
      </c>
      <c r="P84" s="1" t="str">
        <f t="shared" si="40"/>
        <v>N</v>
      </c>
      <c r="Q84" s="1" t="str">
        <f t="shared" si="41"/>
        <v>N</v>
      </c>
      <c r="R84" s="1" t="str">
        <f t="shared" si="42"/>
        <v>N</v>
      </c>
      <c r="S84" s="1" t="str">
        <f t="shared" si="43"/>
        <v>N</v>
      </c>
      <c r="T84" s="1" t="str">
        <f t="shared" si="44"/>
        <v>N</v>
      </c>
      <c r="U84" s="1" t="str">
        <f t="shared" si="35"/>
        <v>N</v>
      </c>
      <c r="V84" s="1" t="str">
        <f t="shared" si="36"/>
        <v>N</v>
      </c>
      <c r="Y84" s="1" t="str">
        <f t="shared" si="45"/>
        <v>N</v>
      </c>
      <c r="Z84" s="1" t="str">
        <f t="shared" si="46"/>
        <v>N</v>
      </c>
      <c r="AA84" s="1" t="str">
        <f t="shared" si="47"/>
        <v>N</v>
      </c>
      <c r="AB84" s="1" t="str">
        <f t="shared" si="48"/>
        <v>N</v>
      </c>
      <c r="AC84" s="1" t="str">
        <f t="shared" si="49"/>
        <v>N</v>
      </c>
      <c r="AD84" s="1" t="str">
        <f t="shared" si="50"/>
        <v>N</v>
      </c>
      <c r="AE84" s="1" t="str">
        <f t="shared" si="51"/>
        <v>N</v>
      </c>
      <c r="AF84" s="1" t="str">
        <f t="shared" si="52"/>
        <v>N</v>
      </c>
      <c r="AG84" s="1" t="str">
        <f t="shared" si="53"/>
        <v>N</v>
      </c>
      <c r="AH84" s="1" t="str">
        <f t="shared" si="54"/>
        <v>N</v>
      </c>
    </row>
    <row r="85" spans="1:34" x14ac:dyDescent="0.3">
      <c r="A85" s="1" t="s">
        <v>250</v>
      </c>
      <c r="B85" s="1" t="s">
        <v>129</v>
      </c>
      <c r="C85" s="7" t="s">
        <v>370</v>
      </c>
      <c r="D85" s="7" t="s">
        <v>371</v>
      </c>
      <c r="E85" s="7">
        <v>15.8380906003507</v>
      </c>
      <c r="F85" s="7" t="s">
        <v>372</v>
      </c>
      <c r="G85" s="7" t="s">
        <v>373</v>
      </c>
      <c r="H85" s="7" t="s">
        <v>374</v>
      </c>
      <c r="I85" s="7" t="s">
        <v>375</v>
      </c>
      <c r="J85" s="7" t="s">
        <v>376</v>
      </c>
      <c r="K85" s="7" t="s">
        <v>377</v>
      </c>
      <c r="M85" s="1" t="str">
        <f t="shared" si="37"/>
        <v>N</v>
      </c>
      <c r="N85" s="1" t="str">
        <f t="shared" ref="N85:N148" si="55">IF(AND(D85&gt;N$4,ISNUMBER(D85)),"Y","N")</f>
        <v>N</v>
      </c>
      <c r="O85" s="1" t="str">
        <f t="shared" ref="O85:O148" si="56">IF(AND(E85&gt;O$4,ISNUMBER(E85)),"Y","N")</f>
        <v>N</v>
      </c>
      <c r="P85" s="1" t="str">
        <f t="shared" ref="P85:P148" si="57">IF(AND(F85&gt;P$4,ISNUMBER(F85)),"Y","N")</f>
        <v>N</v>
      </c>
      <c r="Q85" s="1" t="str">
        <f t="shared" ref="Q85:Q148" si="58">IF(AND(G85&gt;Q$4,ISNUMBER(G85)),"Y","N")</f>
        <v>N</v>
      </c>
      <c r="R85" s="1" t="str">
        <f t="shared" ref="R85:R148" si="59">IF(AND(H85&gt;R$4,ISNUMBER(H85)),"Y","N")</f>
        <v>N</v>
      </c>
      <c r="S85" s="1" t="str">
        <f t="shared" ref="S85:S148" si="60">IF(AND(I85&gt;S$4,ISNUMBER(I85)),"Y","N")</f>
        <v>N</v>
      </c>
      <c r="T85" s="1" t="str">
        <f t="shared" si="44"/>
        <v>N</v>
      </c>
      <c r="U85" s="1" t="str">
        <f t="shared" ref="U85:V148" si="61">IF(AND(K85&gt;U$4,ISNUMBER(K85)),"Y","N")</f>
        <v>N</v>
      </c>
      <c r="V85" s="1" t="str">
        <f t="shared" si="61"/>
        <v>N</v>
      </c>
      <c r="Y85" s="1" t="str">
        <f t="shared" si="45"/>
        <v>N</v>
      </c>
      <c r="Z85" s="1" t="str">
        <f t="shared" si="46"/>
        <v>N</v>
      </c>
      <c r="AA85" s="1" t="str">
        <f t="shared" si="47"/>
        <v>N</v>
      </c>
      <c r="AB85" s="1" t="str">
        <f t="shared" si="48"/>
        <v>N</v>
      </c>
      <c r="AC85" s="1" t="str">
        <f t="shared" si="49"/>
        <v>N</v>
      </c>
      <c r="AD85" s="1" t="str">
        <f t="shared" si="50"/>
        <v>N</v>
      </c>
      <c r="AE85" s="1" t="str">
        <f t="shared" si="51"/>
        <v>N</v>
      </c>
      <c r="AF85" s="1" t="str">
        <f t="shared" si="52"/>
        <v>N</v>
      </c>
      <c r="AG85" s="1" t="str">
        <f t="shared" si="53"/>
        <v>N</v>
      </c>
      <c r="AH85" s="1" t="str">
        <f t="shared" si="54"/>
        <v>N</v>
      </c>
    </row>
    <row r="86" spans="1:34" x14ac:dyDescent="0.3">
      <c r="A86" s="1" t="s">
        <v>251</v>
      </c>
      <c r="B86" s="1" t="s">
        <v>25</v>
      </c>
      <c r="C86" s="7" t="s">
        <v>370</v>
      </c>
      <c r="D86" s="7" t="s">
        <v>371</v>
      </c>
      <c r="E86" s="7">
        <v>76.043958616389702</v>
      </c>
      <c r="F86" s="7" t="s">
        <v>372</v>
      </c>
      <c r="G86" s="7">
        <v>23.044499757642999</v>
      </c>
      <c r="H86" s="7" t="s">
        <v>374</v>
      </c>
      <c r="I86" s="7" t="s">
        <v>375</v>
      </c>
      <c r="J86" s="7" t="s">
        <v>376</v>
      </c>
      <c r="K86" s="7" t="s">
        <v>377</v>
      </c>
      <c r="M86" s="1" t="str">
        <f t="shared" si="37"/>
        <v>N</v>
      </c>
      <c r="N86" s="1" t="str">
        <f t="shared" si="55"/>
        <v>N</v>
      </c>
      <c r="O86" s="1" t="str">
        <f t="shared" si="56"/>
        <v>N</v>
      </c>
      <c r="P86" s="1" t="str">
        <f t="shared" si="57"/>
        <v>N</v>
      </c>
      <c r="Q86" s="1" t="str">
        <f t="shared" si="58"/>
        <v>N</v>
      </c>
      <c r="R86" s="1" t="str">
        <f t="shared" si="59"/>
        <v>N</v>
      </c>
      <c r="S86" s="1" t="str">
        <f t="shared" si="60"/>
        <v>N</v>
      </c>
      <c r="T86" s="1" t="str">
        <f t="shared" si="44"/>
        <v>N</v>
      </c>
      <c r="U86" s="1" t="str">
        <f t="shared" si="61"/>
        <v>N</v>
      </c>
      <c r="V86" s="1" t="str">
        <f t="shared" si="61"/>
        <v>N</v>
      </c>
      <c r="Y86" s="1" t="str">
        <f t="shared" si="45"/>
        <v>N</v>
      </c>
      <c r="Z86" s="1" t="str">
        <f t="shared" si="46"/>
        <v>N</v>
      </c>
      <c r="AA86" s="1" t="str">
        <f t="shared" si="47"/>
        <v>N</v>
      </c>
      <c r="AB86" s="1" t="str">
        <f t="shared" si="48"/>
        <v>N</v>
      </c>
      <c r="AC86" s="1" t="str">
        <f t="shared" si="49"/>
        <v>N</v>
      </c>
      <c r="AD86" s="1" t="str">
        <f t="shared" si="50"/>
        <v>N</v>
      </c>
      <c r="AE86" s="1" t="str">
        <f t="shared" si="51"/>
        <v>N</v>
      </c>
      <c r="AF86" s="1" t="str">
        <f t="shared" si="52"/>
        <v>N</v>
      </c>
      <c r="AG86" s="1" t="str">
        <f t="shared" si="53"/>
        <v>N</v>
      </c>
      <c r="AH86" s="1" t="str">
        <f t="shared" si="54"/>
        <v>N</v>
      </c>
    </row>
    <row r="87" spans="1:34" x14ac:dyDescent="0.3">
      <c r="A87" s="1" t="s">
        <v>252</v>
      </c>
      <c r="B87" s="1" t="s">
        <v>14</v>
      </c>
      <c r="C87" s="7" t="s">
        <v>370</v>
      </c>
      <c r="D87" s="7" t="s">
        <v>371</v>
      </c>
      <c r="E87" s="7">
        <v>32.622136443786701</v>
      </c>
      <c r="F87" s="7" t="s">
        <v>372</v>
      </c>
      <c r="G87" s="7">
        <v>41.693621166776197</v>
      </c>
      <c r="H87" s="7" t="s">
        <v>374</v>
      </c>
      <c r="I87" s="7" t="s">
        <v>375</v>
      </c>
      <c r="J87" s="7" t="s">
        <v>376</v>
      </c>
      <c r="K87" s="7">
        <v>6.7087775142393804</v>
      </c>
      <c r="M87" s="1" t="str">
        <f t="shared" si="37"/>
        <v>N</v>
      </c>
      <c r="N87" s="1" t="str">
        <f t="shared" si="55"/>
        <v>N</v>
      </c>
      <c r="O87" s="1" t="str">
        <f t="shared" si="56"/>
        <v>N</v>
      </c>
      <c r="P87" s="1" t="str">
        <f t="shared" si="57"/>
        <v>N</v>
      </c>
      <c r="Q87" s="1" t="str">
        <f t="shared" si="58"/>
        <v>N</v>
      </c>
      <c r="R87" s="1" t="str">
        <f t="shared" si="59"/>
        <v>N</v>
      </c>
      <c r="S87" s="1" t="str">
        <f t="shared" si="60"/>
        <v>N</v>
      </c>
      <c r="T87" s="1" t="str">
        <f t="shared" si="44"/>
        <v>N</v>
      </c>
      <c r="U87" s="1" t="str">
        <f t="shared" si="61"/>
        <v>N</v>
      </c>
      <c r="V87" s="1" t="str">
        <f t="shared" si="61"/>
        <v>N</v>
      </c>
      <c r="Y87" s="1" t="str">
        <f t="shared" si="45"/>
        <v>N</v>
      </c>
      <c r="Z87" s="1" t="str">
        <f t="shared" si="46"/>
        <v>N</v>
      </c>
      <c r="AA87" s="1" t="str">
        <f t="shared" si="47"/>
        <v>N</v>
      </c>
      <c r="AB87" s="1" t="str">
        <f t="shared" si="48"/>
        <v>N</v>
      </c>
      <c r="AC87" s="1" t="str">
        <f t="shared" si="49"/>
        <v>N</v>
      </c>
      <c r="AD87" s="1" t="str">
        <f t="shared" si="50"/>
        <v>N</v>
      </c>
      <c r="AE87" s="1" t="str">
        <f t="shared" si="51"/>
        <v>N</v>
      </c>
      <c r="AF87" s="1" t="str">
        <f t="shared" si="52"/>
        <v>N</v>
      </c>
      <c r="AG87" s="1" t="str">
        <f t="shared" si="53"/>
        <v>N</v>
      </c>
      <c r="AH87" s="1" t="str">
        <f t="shared" si="54"/>
        <v>N</v>
      </c>
    </row>
    <row r="88" spans="1:34" x14ac:dyDescent="0.3">
      <c r="A88" s="1" t="s">
        <v>253</v>
      </c>
      <c r="B88" s="1" t="s">
        <v>24</v>
      </c>
      <c r="C88" s="7" t="s">
        <v>370</v>
      </c>
      <c r="D88" s="7" t="s">
        <v>371</v>
      </c>
      <c r="E88" s="7">
        <v>50.534210068901203</v>
      </c>
      <c r="F88" s="7" t="s">
        <v>372</v>
      </c>
      <c r="G88" s="7" t="s">
        <v>373</v>
      </c>
      <c r="H88" s="7" t="s">
        <v>374</v>
      </c>
      <c r="I88" s="7" t="s">
        <v>375</v>
      </c>
      <c r="J88" s="7" t="s">
        <v>376</v>
      </c>
      <c r="K88" s="7" t="s">
        <v>377</v>
      </c>
      <c r="M88" s="1" t="str">
        <f t="shared" si="37"/>
        <v>N</v>
      </c>
      <c r="N88" s="1" t="str">
        <f t="shared" si="55"/>
        <v>N</v>
      </c>
      <c r="O88" s="1" t="str">
        <f t="shared" si="56"/>
        <v>N</v>
      </c>
      <c r="P88" s="1" t="str">
        <f t="shared" si="57"/>
        <v>N</v>
      </c>
      <c r="Q88" s="1" t="str">
        <f t="shared" si="58"/>
        <v>N</v>
      </c>
      <c r="R88" s="1" t="str">
        <f t="shared" si="59"/>
        <v>N</v>
      </c>
      <c r="S88" s="1" t="str">
        <f t="shared" si="60"/>
        <v>N</v>
      </c>
      <c r="T88" s="1" t="str">
        <f t="shared" si="44"/>
        <v>N</v>
      </c>
      <c r="U88" s="1" t="str">
        <f t="shared" si="61"/>
        <v>N</v>
      </c>
      <c r="V88" s="1" t="str">
        <f t="shared" si="61"/>
        <v>N</v>
      </c>
      <c r="Y88" s="1" t="str">
        <f t="shared" si="45"/>
        <v>N</v>
      </c>
      <c r="Z88" s="1" t="str">
        <f t="shared" si="46"/>
        <v>N</v>
      </c>
      <c r="AA88" s="1" t="str">
        <f t="shared" si="47"/>
        <v>N</v>
      </c>
      <c r="AB88" s="1" t="str">
        <f t="shared" si="48"/>
        <v>N</v>
      </c>
      <c r="AC88" s="1" t="str">
        <f t="shared" si="49"/>
        <v>N</v>
      </c>
      <c r="AD88" s="1" t="str">
        <f t="shared" si="50"/>
        <v>N</v>
      </c>
      <c r="AE88" s="1" t="str">
        <f t="shared" si="51"/>
        <v>N</v>
      </c>
      <c r="AF88" s="1" t="str">
        <f t="shared" si="52"/>
        <v>N</v>
      </c>
      <c r="AG88" s="1" t="str">
        <f t="shared" si="53"/>
        <v>N</v>
      </c>
      <c r="AH88" s="1" t="str">
        <f t="shared" si="54"/>
        <v>N</v>
      </c>
    </row>
    <row r="89" spans="1:34" x14ac:dyDescent="0.3">
      <c r="A89" s="1" t="s">
        <v>254</v>
      </c>
      <c r="B89" s="1" t="s">
        <v>15</v>
      </c>
      <c r="C89" s="7" t="s">
        <v>370</v>
      </c>
      <c r="D89" s="7" t="s">
        <v>371</v>
      </c>
      <c r="E89" s="7">
        <v>76.406482142961494</v>
      </c>
      <c r="F89" s="7" t="s">
        <v>372</v>
      </c>
      <c r="G89" s="7">
        <v>5.3045885327843596</v>
      </c>
      <c r="H89" s="7" t="s">
        <v>374</v>
      </c>
      <c r="I89" s="7" t="s">
        <v>375</v>
      </c>
      <c r="J89" s="7" t="s">
        <v>376</v>
      </c>
      <c r="K89" s="7" t="s">
        <v>377</v>
      </c>
      <c r="M89" s="1" t="str">
        <f t="shared" si="37"/>
        <v>N</v>
      </c>
      <c r="N89" s="1" t="str">
        <f t="shared" si="55"/>
        <v>N</v>
      </c>
      <c r="O89" s="1" t="str">
        <f t="shared" si="56"/>
        <v>N</v>
      </c>
      <c r="P89" s="1" t="str">
        <f t="shared" si="57"/>
        <v>N</v>
      </c>
      <c r="Q89" s="1" t="str">
        <f t="shared" si="58"/>
        <v>N</v>
      </c>
      <c r="R89" s="1" t="str">
        <f t="shared" si="59"/>
        <v>N</v>
      </c>
      <c r="S89" s="1" t="str">
        <f t="shared" si="60"/>
        <v>N</v>
      </c>
      <c r="T89" s="1" t="str">
        <f t="shared" si="44"/>
        <v>N</v>
      </c>
      <c r="U89" s="1" t="str">
        <f t="shared" si="61"/>
        <v>N</v>
      </c>
      <c r="V89" s="1" t="str">
        <f t="shared" si="61"/>
        <v>N</v>
      </c>
      <c r="Y89" s="1" t="str">
        <f t="shared" si="45"/>
        <v>N</v>
      </c>
      <c r="Z89" s="1" t="str">
        <f t="shared" si="46"/>
        <v>N</v>
      </c>
      <c r="AA89" s="1" t="str">
        <f t="shared" si="47"/>
        <v>N</v>
      </c>
      <c r="AB89" s="1" t="str">
        <f t="shared" si="48"/>
        <v>N</v>
      </c>
      <c r="AC89" s="1" t="str">
        <f t="shared" si="49"/>
        <v>N</v>
      </c>
      <c r="AD89" s="1" t="str">
        <f t="shared" si="50"/>
        <v>N</v>
      </c>
      <c r="AE89" s="1" t="str">
        <f t="shared" si="51"/>
        <v>N</v>
      </c>
      <c r="AF89" s="1" t="str">
        <f t="shared" si="52"/>
        <v>N</v>
      </c>
      <c r="AG89" s="1" t="str">
        <f t="shared" si="53"/>
        <v>N</v>
      </c>
      <c r="AH89" s="1" t="str">
        <f t="shared" si="54"/>
        <v>N</v>
      </c>
    </row>
    <row r="90" spans="1:34" x14ac:dyDescent="0.3">
      <c r="A90" s="1" t="s">
        <v>255</v>
      </c>
      <c r="B90" s="1" t="s">
        <v>53</v>
      </c>
      <c r="C90" s="7" t="s">
        <v>370</v>
      </c>
      <c r="D90" s="7" t="s">
        <v>371</v>
      </c>
      <c r="E90" s="7">
        <v>32.188464714667901</v>
      </c>
      <c r="F90" s="7" t="s">
        <v>372</v>
      </c>
      <c r="G90" s="7" t="s">
        <v>373</v>
      </c>
      <c r="H90" s="7" t="s">
        <v>374</v>
      </c>
      <c r="I90" s="7" t="s">
        <v>375</v>
      </c>
      <c r="J90" s="7" t="s">
        <v>376</v>
      </c>
      <c r="K90" s="7" t="s">
        <v>377</v>
      </c>
      <c r="M90" s="1" t="str">
        <f t="shared" si="37"/>
        <v>N</v>
      </c>
      <c r="N90" s="1" t="str">
        <f t="shared" si="55"/>
        <v>N</v>
      </c>
      <c r="O90" s="1" t="str">
        <f t="shared" si="56"/>
        <v>N</v>
      </c>
      <c r="P90" s="1" t="str">
        <f t="shared" si="57"/>
        <v>N</v>
      </c>
      <c r="Q90" s="1" t="str">
        <f t="shared" si="58"/>
        <v>N</v>
      </c>
      <c r="R90" s="1" t="str">
        <f t="shared" si="59"/>
        <v>N</v>
      </c>
      <c r="S90" s="1" t="str">
        <f t="shared" si="60"/>
        <v>N</v>
      </c>
      <c r="T90" s="1" t="str">
        <f t="shared" si="44"/>
        <v>N</v>
      </c>
      <c r="U90" s="1" t="str">
        <f t="shared" si="61"/>
        <v>N</v>
      </c>
      <c r="V90" s="1" t="str">
        <f t="shared" si="61"/>
        <v>N</v>
      </c>
      <c r="Y90" s="1" t="str">
        <f t="shared" si="45"/>
        <v>N</v>
      </c>
      <c r="Z90" s="1" t="str">
        <f t="shared" si="46"/>
        <v>N</v>
      </c>
      <c r="AA90" s="1" t="str">
        <f t="shared" si="47"/>
        <v>N</v>
      </c>
      <c r="AB90" s="1" t="str">
        <f t="shared" si="48"/>
        <v>N</v>
      </c>
      <c r="AC90" s="1" t="str">
        <f t="shared" si="49"/>
        <v>N</v>
      </c>
      <c r="AD90" s="1" t="str">
        <f t="shared" si="50"/>
        <v>N</v>
      </c>
      <c r="AE90" s="1" t="str">
        <f t="shared" si="51"/>
        <v>N</v>
      </c>
      <c r="AF90" s="1" t="str">
        <f t="shared" si="52"/>
        <v>N</v>
      </c>
      <c r="AG90" s="1" t="str">
        <f t="shared" si="53"/>
        <v>N</v>
      </c>
      <c r="AH90" s="1" t="str">
        <f t="shared" si="54"/>
        <v>N</v>
      </c>
    </row>
    <row r="91" spans="1:34" x14ac:dyDescent="0.3">
      <c r="A91" s="1" t="s">
        <v>256</v>
      </c>
      <c r="B91" s="1" t="s">
        <v>32</v>
      </c>
      <c r="C91" s="7" t="s">
        <v>370</v>
      </c>
      <c r="D91" s="7" t="s">
        <v>371</v>
      </c>
      <c r="E91" s="7">
        <v>77.089408294758897</v>
      </c>
      <c r="F91" s="7" t="s">
        <v>372</v>
      </c>
      <c r="G91" s="7" t="s">
        <v>373</v>
      </c>
      <c r="H91" s="7" t="s">
        <v>374</v>
      </c>
      <c r="I91" s="7" t="s">
        <v>375</v>
      </c>
      <c r="J91" s="7" t="s">
        <v>376</v>
      </c>
      <c r="K91" s="7" t="s">
        <v>377</v>
      </c>
      <c r="M91" s="1" t="str">
        <f t="shared" si="37"/>
        <v>N</v>
      </c>
      <c r="N91" s="1" t="str">
        <f t="shared" si="55"/>
        <v>N</v>
      </c>
      <c r="O91" s="1" t="str">
        <f t="shared" si="56"/>
        <v>N</v>
      </c>
      <c r="P91" s="1" t="str">
        <f t="shared" si="57"/>
        <v>N</v>
      </c>
      <c r="Q91" s="1" t="str">
        <f t="shared" si="58"/>
        <v>N</v>
      </c>
      <c r="R91" s="1" t="str">
        <f t="shared" si="59"/>
        <v>N</v>
      </c>
      <c r="S91" s="1" t="str">
        <f t="shared" si="60"/>
        <v>N</v>
      </c>
      <c r="T91" s="1" t="str">
        <f t="shared" si="44"/>
        <v>N</v>
      </c>
      <c r="U91" s="1" t="str">
        <f t="shared" si="61"/>
        <v>N</v>
      </c>
      <c r="V91" s="1" t="str">
        <f t="shared" si="61"/>
        <v>N</v>
      </c>
      <c r="Y91" s="1" t="str">
        <f t="shared" si="45"/>
        <v>N</v>
      </c>
      <c r="Z91" s="1" t="str">
        <f t="shared" si="46"/>
        <v>N</v>
      </c>
      <c r="AA91" s="1" t="str">
        <f t="shared" si="47"/>
        <v>N</v>
      </c>
      <c r="AB91" s="1" t="str">
        <f t="shared" si="48"/>
        <v>N</v>
      </c>
      <c r="AC91" s="1" t="str">
        <f t="shared" si="49"/>
        <v>N</v>
      </c>
      <c r="AD91" s="1" t="str">
        <f t="shared" si="50"/>
        <v>N</v>
      </c>
      <c r="AE91" s="1" t="str">
        <f t="shared" si="51"/>
        <v>N</v>
      </c>
      <c r="AF91" s="1" t="str">
        <f t="shared" si="52"/>
        <v>N</v>
      </c>
      <c r="AG91" s="1" t="str">
        <f t="shared" si="53"/>
        <v>N</v>
      </c>
      <c r="AH91" s="1" t="str">
        <f t="shared" si="54"/>
        <v>N</v>
      </c>
    </row>
    <row r="92" spans="1:34" x14ac:dyDescent="0.3">
      <c r="A92" s="1" t="s">
        <v>257</v>
      </c>
      <c r="B92" s="1" t="s">
        <v>52</v>
      </c>
      <c r="C92" s="7" t="s">
        <v>370</v>
      </c>
      <c r="D92" s="7" t="s">
        <v>371</v>
      </c>
      <c r="E92" s="7">
        <v>50.197626521871904</v>
      </c>
      <c r="F92" s="7" t="s">
        <v>372</v>
      </c>
      <c r="G92" s="7" t="s">
        <v>373</v>
      </c>
      <c r="H92" s="7" t="s">
        <v>374</v>
      </c>
      <c r="I92" s="7" t="s">
        <v>375</v>
      </c>
      <c r="J92" s="7" t="s">
        <v>376</v>
      </c>
      <c r="K92" s="7" t="s">
        <v>377</v>
      </c>
      <c r="M92" s="1" t="str">
        <f t="shared" si="37"/>
        <v>N</v>
      </c>
      <c r="N92" s="1" t="str">
        <f t="shared" si="55"/>
        <v>N</v>
      </c>
      <c r="O92" s="1" t="str">
        <f t="shared" si="56"/>
        <v>N</v>
      </c>
      <c r="P92" s="1" t="str">
        <f t="shared" si="57"/>
        <v>N</v>
      </c>
      <c r="Q92" s="1" t="str">
        <f t="shared" si="58"/>
        <v>N</v>
      </c>
      <c r="R92" s="1" t="str">
        <f t="shared" si="59"/>
        <v>N</v>
      </c>
      <c r="S92" s="1" t="str">
        <f t="shared" si="60"/>
        <v>N</v>
      </c>
      <c r="T92" s="1" t="str">
        <f t="shared" si="44"/>
        <v>N</v>
      </c>
      <c r="U92" s="1" t="str">
        <f t="shared" si="61"/>
        <v>N</v>
      </c>
      <c r="V92" s="1" t="str">
        <f t="shared" si="61"/>
        <v>N</v>
      </c>
      <c r="Y92" s="1" t="str">
        <f t="shared" si="45"/>
        <v>N</v>
      </c>
      <c r="Z92" s="1" t="str">
        <f t="shared" si="46"/>
        <v>N</v>
      </c>
      <c r="AA92" s="1" t="str">
        <f t="shared" si="47"/>
        <v>N</v>
      </c>
      <c r="AB92" s="1" t="str">
        <f t="shared" si="48"/>
        <v>N</v>
      </c>
      <c r="AC92" s="1" t="str">
        <f t="shared" si="49"/>
        <v>N</v>
      </c>
      <c r="AD92" s="1" t="str">
        <f t="shared" si="50"/>
        <v>N</v>
      </c>
      <c r="AE92" s="1" t="str">
        <f t="shared" si="51"/>
        <v>N</v>
      </c>
      <c r="AF92" s="1" t="str">
        <f t="shared" si="52"/>
        <v>N</v>
      </c>
      <c r="AG92" s="1" t="str">
        <f t="shared" si="53"/>
        <v>N</v>
      </c>
      <c r="AH92" s="1" t="str">
        <f t="shared" si="54"/>
        <v>N</v>
      </c>
    </row>
    <row r="93" spans="1:34" x14ac:dyDescent="0.3">
      <c r="A93" s="1" t="s">
        <v>258</v>
      </c>
      <c r="B93" s="1" t="s">
        <v>33</v>
      </c>
      <c r="C93" s="7" t="s">
        <v>370</v>
      </c>
      <c r="D93" s="7" t="s">
        <v>371</v>
      </c>
      <c r="E93" s="7">
        <v>61.295508585731298</v>
      </c>
      <c r="F93" s="7" t="s">
        <v>372</v>
      </c>
      <c r="G93" s="7" t="s">
        <v>373</v>
      </c>
      <c r="H93" s="7" t="s">
        <v>374</v>
      </c>
      <c r="I93" s="7" t="s">
        <v>375</v>
      </c>
      <c r="J93" s="7" t="s">
        <v>376</v>
      </c>
      <c r="K93" s="7" t="s">
        <v>377</v>
      </c>
      <c r="M93" s="1" t="str">
        <f t="shared" si="37"/>
        <v>N</v>
      </c>
      <c r="N93" s="1" t="str">
        <f t="shared" si="55"/>
        <v>N</v>
      </c>
      <c r="O93" s="1" t="str">
        <f t="shared" si="56"/>
        <v>N</v>
      </c>
      <c r="P93" s="1" t="str">
        <f t="shared" si="57"/>
        <v>N</v>
      </c>
      <c r="Q93" s="1" t="str">
        <f t="shared" si="58"/>
        <v>N</v>
      </c>
      <c r="R93" s="1" t="str">
        <f t="shared" si="59"/>
        <v>N</v>
      </c>
      <c r="S93" s="1" t="str">
        <f t="shared" si="60"/>
        <v>N</v>
      </c>
      <c r="T93" s="1" t="str">
        <f t="shared" si="44"/>
        <v>N</v>
      </c>
      <c r="U93" s="1" t="str">
        <f t="shared" si="61"/>
        <v>N</v>
      </c>
      <c r="V93" s="1" t="str">
        <f t="shared" si="61"/>
        <v>N</v>
      </c>
      <c r="Y93" s="1" t="str">
        <f t="shared" si="45"/>
        <v>N</v>
      </c>
      <c r="Z93" s="1" t="str">
        <f t="shared" si="46"/>
        <v>N</v>
      </c>
      <c r="AA93" s="1" t="str">
        <f t="shared" si="47"/>
        <v>N</v>
      </c>
      <c r="AB93" s="1" t="str">
        <f t="shared" si="48"/>
        <v>N</v>
      </c>
      <c r="AC93" s="1" t="str">
        <f t="shared" si="49"/>
        <v>N</v>
      </c>
      <c r="AD93" s="1" t="str">
        <f t="shared" si="50"/>
        <v>N</v>
      </c>
      <c r="AE93" s="1" t="str">
        <f t="shared" si="51"/>
        <v>N</v>
      </c>
      <c r="AF93" s="1" t="str">
        <f t="shared" si="52"/>
        <v>N</v>
      </c>
      <c r="AG93" s="1" t="str">
        <f t="shared" si="53"/>
        <v>N</v>
      </c>
      <c r="AH93" s="1" t="str">
        <f t="shared" si="54"/>
        <v>N</v>
      </c>
    </row>
    <row r="94" spans="1:34" x14ac:dyDescent="0.3">
      <c r="A94" s="1" t="s">
        <v>259</v>
      </c>
      <c r="B94" s="1" t="s">
        <v>82</v>
      </c>
      <c r="C94" s="7" t="s">
        <v>370</v>
      </c>
      <c r="D94" s="7" t="s">
        <v>371</v>
      </c>
      <c r="E94" s="7">
        <v>9.3459482636884896</v>
      </c>
      <c r="F94" s="7" t="s">
        <v>372</v>
      </c>
      <c r="G94" s="7">
        <v>3.7467347185373798</v>
      </c>
      <c r="H94" s="7" t="s">
        <v>374</v>
      </c>
      <c r="I94" s="7" t="s">
        <v>375</v>
      </c>
      <c r="J94" s="7" t="s">
        <v>376</v>
      </c>
      <c r="K94" s="7" t="s">
        <v>377</v>
      </c>
      <c r="M94" s="1" t="str">
        <f t="shared" si="37"/>
        <v>N</v>
      </c>
      <c r="N94" s="1" t="str">
        <f t="shared" si="55"/>
        <v>N</v>
      </c>
      <c r="O94" s="1" t="str">
        <f t="shared" si="56"/>
        <v>N</v>
      </c>
      <c r="P94" s="1" t="str">
        <f t="shared" si="57"/>
        <v>N</v>
      </c>
      <c r="Q94" s="1" t="str">
        <f t="shared" si="58"/>
        <v>N</v>
      </c>
      <c r="R94" s="1" t="str">
        <f t="shared" si="59"/>
        <v>N</v>
      </c>
      <c r="S94" s="1" t="str">
        <f t="shared" si="60"/>
        <v>N</v>
      </c>
      <c r="T94" s="1" t="str">
        <f t="shared" si="44"/>
        <v>N</v>
      </c>
      <c r="U94" s="1" t="str">
        <f t="shared" si="61"/>
        <v>N</v>
      </c>
      <c r="V94" s="1" t="str">
        <f t="shared" si="61"/>
        <v>N</v>
      </c>
      <c r="Y94" s="1" t="str">
        <f t="shared" si="45"/>
        <v>N</v>
      </c>
      <c r="Z94" s="1" t="str">
        <f t="shared" si="46"/>
        <v>N</v>
      </c>
      <c r="AA94" s="1" t="str">
        <f t="shared" si="47"/>
        <v>N</v>
      </c>
      <c r="AB94" s="1" t="str">
        <f t="shared" si="48"/>
        <v>N</v>
      </c>
      <c r="AC94" s="1" t="str">
        <f t="shared" si="49"/>
        <v>N</v>
      </c>
      <c r="AD94" s="1" t="str">
        <f t="shared" si="50"/>
        <v>N</v>
      </c>
      <c r="AE94" s="1" t="str">
        <f t="shared" si="51"/>
        <v>N</v>
      </c>
      <c r="AF94" s="1" t="str">
        <f t="shared" si="52"/>
        <v>N</v>
      </c>
      <c r="AG94" s="1" t="str">
        <f t="shared" si="53"/>
        <v>N</v>
      </c>
      <c r="AH94" s="1" t="str">
        <f t="shared" si="54"/>
        <v>N</v>
      </c>
    </row>
    <row r="95" spans="1:34" x14ac:dyDescent="0.3">
      <c r="A95" s="1" t="s">
        <v>260</v>
      </c>
      <c r="B95" s="1" t="s">
        <v>84</v>
      </c>
      <c r="C95" s="7" t="s">
        <v>370</v>
      </c>
      <c r="D95" s="7" t="s">
        <v>371</v>
      </c>
      <c r="E95" s="7">
        <v>112.44385624554801</v>
      </c>
      <c r="F95" s="7" t="s">
        <v>372</v>
      </c>
      <c r="G95" s="7" t="s">
        <v>373</v>
      </c>
      <c r="H95" s="7" t="s">
        <v>374</v>
      </c>
      <c r="I95" s="7" t="s">
        <v>375</v>
      </c>
      <c r="J95" s="7" t="s">
        <v>376</v>
      </c>
      <c r="K95" s="7">
        <v>11.1020141582525</v>
      </c>
      <c r="M95" s="1" t="str">
        <f t="shared" si="37"/>
        <v>N</v>
      </c>
      <c r="N95" s="1" t="str">
        <f t="shared" si="55"/>
        <v>N</v>
      </c>
      <c r="O95" s="1" t="str">
        <f t="shared" si="56"/>
        <v>N</v>
      </c>
      <c r="P95" s="1" t="str">
        <f t="shared" si="57"/>
        <v>N</v>
      </c>
      <c r="Q95" s="1" t="str">
        <f t="shared" si="58"/>
        <v>N</v>
      </c>
      <c r="R95" s="1" t="str">
        <f t="shared" si="59"/>
        <v>N</v>
      </c>
      <c r="S95" s="1" t="str">
        <f t="shared" si="60"/>
        <v>N</v>
      </c>
      <c r="T95" s="1" t="str">
        <f t="shared" si="44"/>
        <v>N</v>
      </c>
      <c r="U95" s="1" t="str">
        <f t="shared" si="61"/>
        <v>N</v>
      </c>
      <c r="V95" s="1" t="str">
        <f t="shared" si="61"/>
        <v>N</v>
      </c>
      <c r="Y95" s="1" t="str">
        <f t="shared" si="45"/>
        <v>N</v>
      </c>
      <c r="Z95" s="1" t="str">
        <f t="shared" si="46"/>
        <v>N</v>
      </c>
      <c r="AA95" s="1" t="str">
        <f t="shared" si="47"/>
        <v>N</v>
      </c>
      <c r="AB95" s="1" t="str">
        <f t="shared" si="48"/>
        <v>N</v>
      </c>
      <c r="AC95" s="1" t="str">
        <f t="shared" si="49"/>
        <v>N</v>
      </c>
      <c r="AD95" s="1" t="str">
        <f t="shared" si="50"/>
        <v>N</v>
      </c>
      <c r="AE95" s="1" t="str">
        <f t="shared" si="51"/>
        <v>N</v>
      </c>
      <c r="AF95" s="1" t="str">
        <f t="shared" si="52"/>
        <v>N</v>
      </c>
      <c r="AG95" s="1" t="str">
        <f t="shared" si="53"/>
        <v>N</v>
      </c>
      <c r="AH95" s="1" t="str">
        <f t="shared" si="54"/>
        <v>N</v>
      </c>
    </row>
    <row r="96" spans="1:34" x14ac:dyDescent="0.3">
      <c r="A96" s="1" t="s">
        <v>261</v>
      </c>
      <c r="B96" s="1" t="s">
        <v>126</v>
      </c>
      <c r="C96" s="7" t="s">
        <v>370</v>
      </c>
      <c r="D96" s="7" t="s">
        <v>371</v>
      </c>
      <c r="E96" s="7">
        <v>78.351028888948207</v>
      </c>
      <c r="F96" s="7" t="s">
        <v>372</v>
      </c>
      <c r="G96" s="7">
        <v>8.9966602062115992</v>
      </c>
      <c r="H96" s="7" t="s">
        <v>374</v>
      </c>
      <c r="I96" s="7" t="s">
        <v>375</v>
      </c>
      <c r="J96" s="7" t="s">
        <v>376</v>
      </c>
      <c r="K96" s="7" t="s">
        <v>377</v>
      </c>
      <c r="M96" s="1" t="str">
        <f t="shared" si="37"/>
        <v>N</v>
      </c>
      <c r="N96" s="1" t="str">
        <f t="shared" si="55"/>
        <v>N</v>
      </c>
      <c r="O96" s="1" t="str">
        <f t="shared" si="56"/>
        <v>N</v>
      </c>
      <c r="P96" s="1" t="str">
        <f t="shared" si="57"/>
        <v>N</v>
      </c>
      <c r="Q96" s="1" t="str">
        <f t="shared" si="58"/>
        <v>N</v>
      </c>
      <c r="R96" s="1" t="str">
        <f t="shared" si="59"/>
        <v>N</v>
      </c>
      <c r="S96" s="1" t="str">
        <f t="shared" si="60"/>
        <v>N</v>
      </c>
      <c r="T96" s="1" t="str">
        <f t="shared" si="44"/>
        <v>N</v>
      </c>
      <c r="U96" s="1" t="str">
        <f t="shared" si="61"/>
        <v>N</v>
      </c>
      <c r="V96" s="1" t="str">
        <f t="shared" si="61"/>
        <v>N</v>
      </c>
      <c r="Y96" s="1" t="str">
        <f t="shared" si="45"/>
        <v>N</v>
      </c>
      <c r="Z96" s="1" t="str">
        <f t="shared" si="46"/>
        <v>N</v>
      </c>
      <c r="AA96" s="1" t="str">
        <f t="shared" si="47"/>
        <v>N</v>
      </c>
      <c r="AB96" s="1" t="str">
        <f t="shared" si="48"/>
        <v>N</v>
      </c>
      <c r="AC96" s="1" t="str">
        <f t="shared" si="49"/>
        <v>N</v>
      </c>
      <c r="AD96" s="1" t="str">
        <f t="shared" si="50"/>
        <v>N</v>
      </c>
      <c r="AE96" s="1" t="str">
        <f t="shared" si="51"/>
        <v>N</v>
      </c>
      <c r="AF96" s="1" t="str">
        <f t="shared" si="52"/>
        <v>N</v>
      </c>
      <c r="AG96" s="1" t="str">
        <f t="shared" si="53"/>
        <v>N</v>
      </c>
      <c r="AH96" s="1" t="str">
        <f t="shared" si="54"/>
        <v>N</v>
      </c>
    </row>
    <row r="97" spans="1:34" x14ac:dyDescent="0.3">
      <c r="A97" s="1" t="s">
        <v>262</v>
      </c>
      <c r="B97" s="1" t="s">
        <v>125</v>
      </c>
      <c r="C97" s="7" t="s">
        <v>370</v>
      </c>
      <c r="D97" s="7" t="s">
        <v>371</v>
      </c>
      <c r="E97" s="7">
        <v>31.904993277920902</v>
      </c>
      <c r="F97" s="7" t="s">
        <v>372</v>
      </c>
      <c r="G97" s="7">
        <v>7.1349203444260896</v>
      </c>
      <c r="H97" s="7" t="s">
        <v>374</v>
      </c>
      <c r="I97" s="7" t="s">
        <v>375</v>
      </c>
      <c r="J97" s="7" t="s">
        <v>376</v>
      </c>
      <c r="K97" s="7" t="s">
        <v>377</v>
      </c>
      <c r="M97" s="1" t="str">
        <f t="shared" si="37"/>
        <v>N</v>
      </c>
      <c r="N97" s="1" t="str">
        <f t="shared" si="55"/>
        <v>N</v>
      </c>
      <c r="O97" s="1" t="str">
        <f t="shared" si="56"/>
        <v>N</v>
      </c>
      <c r="P97" s="1" t="str">
        <f t="shared" si="57"/>
        <v>N</v>
      </c>
      <c r="Q97" s="1" t="str">
        <f t="shared" si="58"/>
        <v>N</v>
      </c>
      <c r="R97" s="1" t="str">
        <f t="shared" si="59"/>
        <v>N</v>
      </c>
      <c r="S97" s="1" t="str">
        <f t="shared" si="60"/>
        <v>N</v>
      </c>
      <c r="T97" s="1" t="str">
        <f t="shared" si="44"/>
        <v>N</v>
      </c>
      <c r="U97" s="1" t="str">
        <f t="shared" si="61"/>
        <v>N</v>
      </c>
      <c r="V97" s="1" t="str">
        <f t="shared" si="61"/>
        <v>N</v>
      </c>
      <c r="Y97" s="1" t="str">
        <f t="shared" si="45"/>
        <v>N</v>
      </c>
      <c r="Z97" s="1" t="str">
        <f t="shared" si="46"/>
        <v>N</v>
      </c>
      <c r="AA97" s="1" t="str">
        <f t="shared" si="47"/>
        <v>N</v>
      </c>
      <c r="AB97" s="1" t="str">
        <f t="shared" si="48"/>
        <v>N</v>
      </c>
      <c r="AC97" s="1" t="str">
        <f t="shared" si="49"/>
        <v>N</v>
      </c>
      <c r="AD97" s="1" t="str">
        <f t="shared" si="50"/>
        <v>N</v>
      </c>
      <c r="AE97" s="1" t="str">
        <f t="shared" si="51"/>
        <v>N</v>
      </c>
      <c r="AF97" s="1" t="str">
        <f t="shared" si="52"/>
        <v>N</v>
      </c>
      <c r="AG97" s="1" t="str">
        <f t="shared" si="53"/>
        <v>N</v>
      </c>
      <c r="AH97" s="1" t="str">
        <f t="shared" si="54"/>
        <v>N</v>
      </c>
    </row>
    <row r="98" spans="1:34" x14ac:dyDescent="0.3">
      <c r="A98" s="1" t="s">
        <v>263</v>
      </c>
      <c r="B98" s="1" t="s">
        <v>130</v>
      </c>
      <c r="C98" s="7">
        <v>4.9373856104066496</v>
      </c>
      <c r="D98" s="7" t="s">
        <v>371</v>
      </c>
      <c r="E98" s="7">
        <v>40.353435846057501</v>
      </c>
      <c r="F98" s="7" t="s">
        <v>372</v>
      </c>
      <c r="G98" s="7">
        <v>7.5518782910800804</v>
      </c>
      <c r="H98" s="7" t="s">
        <v>374</v>
      </c>
      <c r="I98" s="7" t="s">
        <v>375</v>
      </c>
      <c r="J98" s="7" t="s">
        <v>376</v>
      </c>
      <c r="K98" s="7" t="s">
        <v>377</v>
      </c>
      <c r="M98" s="1" t="str">
        <f t="shared" si="37"/>
        <v>N</v>
      </c>
      <c r="N98" s="1" t="str">
        <f t="shared" si="55"/>
        <v>N</v>
      </c>
      <c r="O98" s="1" t="str">
        <f t="shared" si="56"/>
        <v>N</v>
      </c>
      <c r="P98" s="1" t="str">
        <f t="shared" si="57"/>
        <v>N</v>
      </c>
      <c r="Q98" s="1" t="str">
        <f t="shared" si="58"/>
        <v>N</v>
      </c>
      <c r="R98" s="1" t="str">
        <f t="shared" si="59"/>
        <v>N</v>
      </c>
      <c r="S98" s="1" t="str">
        <f t="shared" si="60"/>
        <v>N</v>
      </c>
      <c r="T98" s="1" t="str">
        <f t="shared" si="44"/>
        <v>N</v>
      </c>
      <c r="U98" s="1" t="str">
        <f t="shared" si="61"/>
        <v>N</v>
      </c>
      <c r="V98" s="1" t="str">
        <f t="shared" si="61"/>
        <v>N</v>
      </c>
      <c r="Y98" s="1" t="str">
        <f t="shared" si="45"/>
        <v>N</v>
      </c>
      <c r="Z98" s="1" t="str">
        <f t="shared" si="46"/>
        <v>N</v>
      </c>
      <c r="AA98" s="1" t="str">
        <f t="shared" si="47"/>
        <v>N</v>
      </c>
      <c r="AB98" s="1" t="str">
        <f t="shared" si="48"/>
        <v>N</v>
      </c>
      <c r="AC98" s="1" t="str">
        <f t="shared" si="49"/>
        <v>N</v>
      </c>
      <c r="AD98" s="1" t="str">
        <f t="shared" si="50"/>
        <v>N</v>
      </c>
      <c r="AE98" s="1" t="str">
        <f t="shared" si="51"/>
        <v>N</v>
      </c>
      <c r="AF98" s="1" t="str">
        <f t="shared" si="52"/>
        <v>N</v>
      </c>
      <c r="AG98" s="1" t="str">
        <f t="shared" si="53"/>
        <v>N</v>
      </c>
      <c r="AH98" s="1" t="str">
        <f t="shared" si="54"/>
        <v>N</v>
      </c>
    </row>
    <row r="99" spans="1:34" x14ac:dyDescent="0.3">
      <c r="A99" s="1" t="s">
        <v>264</v>
      </c>
      <c r="B99" s="1" t="s">
        <v>99</v>
      </c>
      <c r="C99" s="7" t="s">
        <v>370</v>
      </c>
      <c r="D99" s="7" t="s">
        <v>371</v>
      </c>
      <c r="E99" s="7">
        <v>31.1298885731395</v>
      </c>
      <c r="F99" s="7" t="s">
        <v>372</v>
      </c>
      <c r="G99" s="7">
        <v>5.8155075145022304</v>
      </c>
      <c r="H99" s="7">
        <v>59.905924834063597</v>
      </c>
      <c r="I99" s="7" t="s">
        <v>375</v>
      </c>
      <c r="J99" s="7" t="s">
        <v>376</v>
      </c>
      <c r="K99" s="7" t="s">
        <v>377</v>
      </c>
      <c r="M99" s="1" t="str">
        <f t="shared" si="37"/>
        <v>N</v>
      </c>
      <c r="N99" s="1" t="str">
        <f t="shared" si="55"/>
        <v>N</v>
      </c>
      <c r="O99" s="1" t="str">
        <f t="shared" si="56"/>
        <v>N</v>
      </c>
      <c r="P99" s="1" t="str">
        <f t="shared" si="57"/>
        <v>N</v>
      </c>
      <c r="Q99" s="1" t="str">
        <f t="shared" si="58"/>
        <v>N</v>
      </c>
      <c r="R99" s="1" t="str">
        <f t="shared" si="59"/>
        <v>N</v>
      </c>
      <c r="S99" s="1" t="str">
        <f t="shared" si="60"/>
        <v>N</v>
      </c>
      <c r="T99" s="1" t="str">
        <f t="shared" si="44"/>
        <v>N</v>
      </c>
      <c r="U99" s="1" t="str">
        <f t="shared" si="61"/>
        <v>N</v>
      </c>
      <c r="V99" s="1" t="str">
        <f t="shared" si="61"/>
        <v>N</v>
      </c>
      <c r="Y99" s="1" t="str">
        <f t="shared" si="45"/>
        <v>N</v>
      </c>
      <c r="Z99" s="1" t="str">
        <f t="shared" si="46"/>
        <v>N</v>
      </c>
      <c r="AA99" s="1" t="str">
        <f t="shared" si="47"/>
        <v>N</v>
      </c>
      <c r="AB99" s="1" t="str">
        <f t="shared" si="48"/>
        <v>N</v>
      </c>
      <c r="AC99" s="1" t="str">
        <f t="shared" si="49"/>
        <v>N</v>
      </c>
      <c r="AD99" s="1" t="str">
        <f t="shared" si="50"/>
        <v>N</v>
      </c>
      <c r="AE99" s="1" t="str">
        <f t="shared" si="51"/>
        <v>N</v>
      </c>
      <c r="AF99" s="1" t="str">
        <f t="shared" si="52"/>
        <v>N</v>
      </c>
      <c r="AG99" s="1" t="str">
        <f t="shared" si="53"/>
        <v>N</v>
      </c>
      <c r="AH99" s="1" t="str">
        <f t="shared" si="54"/>
        <v>N</v>
      </c>
    </row>
    <row r="100" spans="1:34" x14ac:dyDescent="0.3">
      <c r="A100" s="1" t="s">
        <v>265</v>
      </c>
      <c r="B100" s="1" t="s">
        <v>110</v>
      </c>
      <c r="C100" s="7" t="s">
        <v>370</v>
      </c>
      <c r="D100" s="7" t="s">
        <v>371</v>
      </c>
      <c r="E100" s="7">
        <v>45.132166117909797</v>
      </c>
      <c r="F100" s="7" t="s">
        <v>372</v>
      </c>
      <c r="G100" s="7">
        <v>6.5552043089427503</v>
      </c>
      <c r="H100" s="7" t="s">
        <v>374</v>
      </c>
      <c r="I100" s="7" t="s">
        <v>375</v>
      </c>
      <c r="J100" s="7" t="s">
        <v>376</v>
      </c>
      <c r="K100" s="7" t="s">
        <v>377</v>
      </c>
      <c r="M100" s="1" t="str">
        <f t="shared" si="37"/>
        <v>N</v>
      </c>
      <c r="N100" s="1" t="str">
        <f t="shared" si="55"/>
        <v>N</v>
      </c>
      <c r="O100" s="1" t="str">
        <f t="shared" si="56"/>
        <v>N</v>
      </c>
      <c r="P100" s="1" t="str">
        <f t="shared" si="57"/>
        <v>N</v>
      </c>
      <c r="Q100" s="1" t="str">
        <f t="shared" si="58"/>
        <v>N</v>
      </c>
      <c r="R100" s="1" t="str">
        <f t="shared" si="59"/>
        <v>N</v>
      </c>
      <c r="S100" s="1" t="str">
        <f t="shared" si="60"/>
        <v>N</v>
      </c>
      <c r="T100" s="1" t="str">
        <f t="shared" si="44"/>
        <v>N</v>
      </c>
      <c r="U100" s="1" t="str">
        <f t="shared" si="61"/>
        <v>N</v>
      </c>
      <c r="V100" s="1" t="str">
        <f t="shared" si="61"/>
        <v>N</v>
      </c>
      <c r="Y100" s="1" t="str">
        <f t="shared" si="45"/>
        <v>N</v>
      </c>
      <c r="Z100" s="1" t="str">
        <f t="shared" si="46"/>
        <v>N</v>
      </c>
      <c r="AA100" s="1" t="str">
        <f t="shared" si="47"/>
        <v>N</v>
      </c>
      <c r="AB100" s="1" t="str">
        <f t="shared" si="48"/>
        <v>N</v>
      </c>
      <c r="AC100" s="1" t="str">
        <f t="shared" si="49"/>
        <v>N</v>
      </c>
      <c r="AD100" s="1" t="str">
        <f t="shared" si="50"/>
        <v>N</v>
      </c>
      <c r="AE100" s="1" t="str">
        <f t="shared" si="51"/>
        <v>N</v>
      </c>
      <c r="AF100" s="1" t="str">
        <f t="shared" si="52"/>
        <v>N</v>
      </c>
      <c r="AG100" s="1" t="str">
        <f t="shared" si="53"/>
        <v>N</v>
      </c>
      <c r="AH100" s="1" t="str">
        <f t="shared" si="54"/>
        <v>N</v>
      </c>
    </row>
    <row r="101" spans="1:34" x14ac:dyDescent="0.3">
      <c r="A101" s="1" t="s">
        <v>266</v>
      </c>
      <c r="B101" s="1" t="s">
        <v>109</v>
      </c>
      <c r="C101" s="7" t="s">
        <v>370</v>
      </c>
      <c r="D101" s="7" t="s">
        <v>371</v>
      </c>
      <c r="E101" s="7">
        <v>84.3755925587311</v>
      </c>
      <c r="F101" s="7" t="s">
        <v>372</v>
      </c>
      <c r="G101" s="7">
        <v>30.685110623456499</v>
      </c>
      <c r="H101" s="7" t="s">
        <v>374</v>
      </c>
      <c r="I101" s="7" t="s">
        <v>375</v>
      </c>
      <c r="J101" s="7" t="s">
        <v>376</v>
      </c>
      <c r="K101" s="7" t="s">
        <v>377</v>
      </c>
      <c r="M101" s="1" t="str">
        <f t="shared" si="37"/>
        <v>N</v>
      </c>
      <c r="N101" s="1" t="str">
        <f t="shared" si="55"/>
        <v>N</v>
      </c>
      <c r="O101" s="1" t="str">
        <f t="shared" si="56"/>
        <v>N</v>
      </c>
      <c r="P101" s="1" t="str">
        <f t="shared" si="57"/>
        <v>N</v>
      </c>
      <c r="Q101" s="1" t="str">
        <f t="shared" si="58"/>
        <v>N</v>
      </c>
      <c r="R101" s="1" t="str">
        <f t="shared" si="59"/>
        <v>N</v>
      </c>
      <c r="S101" s="1" t="str">
        <f t="shared" si="60"/>
        <v>N</v>
      </c>
      <c r="T101" s="1" t="str">
        <f t="shared" si="44"/>
        <v>N</v>
      </c>
      <c r="U101" s="1" t="str">
        <f t="shared" si="61"/>
        <v>N</v>
      </c>
      <c r="V101" s="1" t="str">
        <f t="shared" si="61"/>
        <v>N</v>
      </c>
      <c r="Y101" s="1" t="str">
        <f t="shared" si="45"/>
        <v>N</v>
      </c>
      <c r="Z101" s="1" t="str">
        <f t="shared" si="46"/>
        <v>N</v>
      </c>
      <c r="AA101" s="1" t="str">
        <f t="shared" si="47"/>
        <v>N</v>
      </c>
      <c r="AB101" s="1" t="str">
        <f t="shared" si="48"/>
        <v>N</v>
      </c>
      <c r="AC101" s="1" t="str">
        <f t="shared" si="49"/>
        <v>N</v>
      </c>
      <c r="AD101" s="1" t="str">
        <f t="shared" si="50"/>
        <v>N</v>
      </c>
      <c r="AE101" s="1" t="str">
        <f t="shared" si="51"/>
        <v>N</v>
      </c>
      <c r="AF101" s="1" t="str">
        <f t="shared" si="52"/>
        <v>N</v>
      </c>
      <c r="AG101" s="1" t="str">
        <f t="shared" si="53"/>
        <v>N</v>
      </c>
      <c r="AH101" s="1" t="str">
        <f t="shared" si="54"/>
        <v>N</v>
      </c>
    </row>
    <row r="102" spans="1:34" x14ac:dyDescent="0.3">
      <c r="A102" s="1" t="s">
        <v>267</v>
      </c>
      <c r="B102" s="1" t="s">
        <v>108</v>
      </c>
      <c r="C102" s="7" t="s">
        <v>370</v>
      </c>
      <c r="D102" s="7" t="s">
        <v>371</v>
      </c>
      <c r="E102" s="7">
        <v>36.432518462485199</v>
      </c>
      <c r="F102" s="7" t="s">
        <v>372</v>
      </c>
      <c r="G102" s="7">
        <v>63.241185945830601</v>
      </c>
      <c r="H102" s="7" t="s">
        <v>374</v>
      </c>
      <c r="I102" s="7" t="s">
        <v>375</v>
      </c>
      <c r="J102" s="7" t="s">
        <v>376</v>
      </c>
      <c r="K102" s="7" t="s">
        <v>377</v>
      </c>
      <c r="M102" s="1" t="str">
        <f t="shared" si="37"/>
        <v>N</v>
      </c>
      <c r="N102" s="1" t="str">
        <f t="shared" si="55"/>
        <v>N</v>
      </c>
      <c r="O102" s="1" t="str">
        <f t="shared" si="56"/>
        <v>N</v>
      </c>
      <c r="P102" s="1" t="str">
        <f t="shared" si="57"/>
        <v>N</v>
      </c>
      <c r="Q102" s="1" t="str">
        <f t="shared" si="58"/>
        <v>Y</v>
      </c>
      <c r="R102" s="1" t="str">
        <f t="shared" si="59"/>
        <v>N</v>
      </c>
      <c r="S102" s="1" t="str">
        <f t="shared" si="60"/>
        <v>N</v>
      </c>
      <c r="T102" s="1" t="str">
        <f t="shared" si="44"/>
        <v>N</v>
      </c>
      <c r="U102" s="1" t="str">
        <f t="shared" si="61"/>
        <v>N</v>
      </c>
      <c r="V102" s="1" t="str">
        <f t="shared" si="61"/>
        <v>N</v>
      </c>
      <c r="Y102" s="1" t="str">
        <f t="shared" si="45"/>
        <v>N</v>
      </c>
      <c r="Z102" s="1" t="str">
        <f t="shared" si="46"/>
        <v>N</v>
      </c>
      <c r="AA102" s="1" t="str">
        <f t="shared" si="47"/>
        <v>N</v>
      </c>
      <c r="AB102" s="1" t="str">
        <f t="shared" si="48"/>
        <v>N</v>
      </c>
      <c r="AC102" s="1" t="str">
        <f t="shared" si="49"/>
        <v>N</v>
      </c>
      <c r="AD102" s="1" t="str">
        <f t="shared" si="50"/>
        <v>N</v>
      </c>
      <c r="AE102" s="1" t="str">
        <f t="shared" si="51"/>
        <v>N</v>
      </c>
      <c r="AF102" s="1" t="str">
        <f t="shared" si="52"/>
        <v>N</v>
      </c>
      <c r="AG102" s="1" t="str">
        <f t="shared" si="53"/>
        <v>N</v>
      </c>
      <c r="AH102" s="1" t="str">
        <f t="shared" si="54"/>
        <v>N</v>
      </c>
    </row>
    <row r="103" spans="1:34" x14ac:dyDescent="0.3">
      <c r="A103" s="1" t="s">
        <v>268</v>
      </c>
      <c r="B103" s="1" t="s">
        <v>100</v>
      </c>
      <c r="C103" s="7" t="s">
        <v>370</v>
      </c>
      <c r="D103" s="7" t="s">
        <v>371</v>
      </c>
      <c r="E103" s="7">
        <v>33.854234388047701</v>
      </c>
      <c r="F103" s="7" t="s">
        <v>372</v>
      </c>
      <c r="G103" s="7">
        <v>35.175891065577197</v>
      </c>
      <c r="H103" s="7" t="s">
        <v>374</v>
      </c>
      <c r="I103" s="7" t="s">
        <v>375</v>
      </c>
      <c r="J103" s="7" t="s">
        <v>376</v>
      </c>
      <c r="K103" s="7" t="s">
        <v>377</v>
      </c>
      <c r="M103" s="1" t="str">
        <f t="shared" si="37"/>
        <v>N</v>
      </c>
      <c r="N103" s="1" t="str">
        <f t="shared" si="55"/>
        <v>N</v>
      </c>
      <c r="O103" s="1" t="str">
        <f t="shared" si="56"/>
        <v>N</v>
      </c>
      <c r="P103" s="1" t="str">
        <f t="shared" si="57"/>
        <v>N</v>
      </c>
      <c r="Q103" s="1" t="str">
        <f t="shared" si="58"/>
        <v>N</v>
      </c>
      <c r="R103" s="1" t="str">
        <f t="shared" si="59"/>
        <v>N</v>
      </c>
      <c r="S103" s="1" t="str">
        <f t="shared" si="60"/>
        <v>N</v>
      </c>
      <c r="T103" s="1" t="str">
        <f t="shared" si="44"/>
        <v>N</v>
      </c>
      <c r="U103" s="1" t="str">
        <f t="shared" si="61"/>
        <v>N</v>
      </c>
      <c r="V103" s="1" t="str">
        <f t="shared" si="61"/>
        <v>N</v>
      </c>
      <c r="Y103" s="1" t="str">
        <f t="shared" si="45"/>
        <v>N</v>
      </c>
      <c r="Z103" s="1" t="str">
        <f t="shared" si="46"/>
        <v>N</v>
      </c>
      <c r="AA103" s="1" t="str">
        <f t="shared" si="47"/>
        <v>N</v>
      </c>
      <c r="AB103" s="1" t="str">
        <f t="shared" si="48"/>
        <v>N</v>
      </c>
      <c r="AC103" s="1" t="str">
        <f t="shared" si="49"/>
        <v>N</v>
      </c>
      <c r="AD103" s="1" t="str">
        <f t="shared" si="50"/>
        <v>N</v>
      </c>
      <c r="AE103" s="1" t="str">
        <f t="shared" si="51"/>
        <v>N</v>
      </c>
      <c r="AF103" s="1" t="str">
        <f t="shared" si="52"/>
        <v>N</v>
      </c>
      <c r="AG103" s="1" t="str">
        <f t="shared" si="53"/>
        <v>N</v>
      </c>
      <c r="AH103" s="1" t="str">
        <f t="shared" si="54"/>
        <v>N</v>
      </c>
    </row>
    <row r="104" spans="1:34" x14ac:dyDescent="0.3">
      <c r="A104" s="1" t="s">
        <v>269</v>
      </c>
      <c r="B104" s="1" t="s">
        <v>101</v>
      </c>
      <c r="C104" s="7" t="s">
        <v>370</v>
      </c>
      <c r="D104" s="7" t="s">
        <v>371</v>
      </c>
      <c r="E104" s="7">
        <v>29.766850531604501</v>
      </c>
      <c r="F104" s="7" t="s">
        <v>372</v>
      </c>
      <c r="G104" s="7">
        <v>18.8170498915017</v>
      </c>
      <c r="H104" s="7" t="s">
        <v>374</v>
      </c>
      <c r="I104" s="7" t="s">
        <v>375</v>
      </c>
      <c r="J104" s="7" t="s">
        <v>376</v>
      </c>
      <c r="K104" s="7" t="s">
        <v>377</v>
      </c>
      <c r="M104" s="1" t="str">
        <f t="shared" si="37"/>
        <v>N</v>
      </c>
      <c r="N104" s="1" t="str">
        <f t="shared" si="55"/>
        <v>N</v>
      </c>
      <c r="O104" s="1" t="str">
        <f t="shared" si="56"/>
        <v>N</v>
      </c>
      <c r="P104" s="1" t="str">
        <f t="shared" si="57"/>
        <v>N</v>
      </c>
      <c r="Q104" s="1" t="str">
        <f t="shared" si="58"/>
        <v>N</v>
      </c>
      <c r="R104" s="1" t="str">
        <f t="shared" si="59"/>
        <v>N</v>
      </c>
      <c r="S104" s="1" t="str">
        <f t="shared" si="60"/>
        <v>N</v>
      </c>
      <c r="T104" s="1" t="str">
        <f t="shared" si="44"/>
        <v>N</v>
      </c>
      <c r="U104" s="1" t="str">
        <f t="shared" si="61"/>
        <v>N</v>
      </c>
      <c r="V104" s="1" t="str">
        <f t="shared" si="61"/>
        <v>N</v>
      </c>
      <c r="Y104" s="1" t="str">
        <f t="shared" si="45"/>
        <v>N</v>
      </c>
      <c r="Z104" s="1" t="str">
        <f t="shared" si="46"/>
        <v>N</v>
      </c>
      <c r="AA104" s="1" t="str">
        <f t="shared" si="47"/>
        <v>N</v>
      </c>
      <c r="AB104" s="1" t="str">
        <f t="shared" si="48"/>
        <v>N</v>
      </c>
      <c r="AC104" s="1" t="str">
        <f t="shared" si="49"/>
        <v>N</v>
      </c>
      <c r="AD104" s="1" t="str">
        <f t="shared" si="50"/>
        <v>N</v>
      </c>
      <c r="AE104" s="1" t="str">
        <f t="shared" si="51"/>
        <v>N</v>
      </c>
      <c r="AF104" s="1" t="str">
        <f t="shared" si="52"/>
        <v>N</v>
      </c>
      <c r="AG104" s="1" t="str">
        <f t="shared" si="53"/>
        <v>N</v>
      </c>
      <c r="AH104" s="1" t="str">
        <f t="shared" si="54"/>
        <v>N</v>
      </c>
    </row>
    <row r="105" spans="1:34" x14ac:dyDescent="0.3">
      <c r="A105" s="1" t="s">
        <v>270</v>
      </c>
      <c r="B105" s="1" t="s">
        <v>104</v>
      </c>
      <c r="C105" s="7" t="s">
        <v>370</v>
      </c>
      <c r="D105" s="7" t="s">
        <v>371</v>
      </c>
      <c r="E105" s="7">
        <v>73.912318679259499</v>
      </c>
      <c r="F105" s="7" t="s">
        <v>372</v>
      </c>
      <c r="G105" s="7">
        <v>24.784246974364901</v>
      </c>
      <c r="H105" s="7" t="s">
        <v>374</v>
      </c>
      <c r="I105" s="7" t="s">
        <v>375</v>
      </c>
      <c r="J105" s="7" t="s">
        <v>376</v>
      </c>
      <c r="K105" s="7">
        <v>8.6923904300445205</v>
      </c>
      <c r="M105" s="1" t="str">
        <f t="shared" si="37"/>
        <v>N</v>
      </c>
      <c r="N105" s="1" t="str">
        <f t="shared" si="55"/>
        <v>N</v>
      </c>
      <c r="O105" s="1" t="str">
        <f t="shared" si="56"/>
        <v>N</v>
      </c>
      <c r="P105" s="1" t="str">
        <f t="shared" si="57"/>
        <v>N</v>
      </c>
      <c r="Q105" s="1" t="str">
        <f t="shared" si="58"/>
        <v>N</v>
      </c>
      <c r="R105" s="1" t="str">
        <f t="shared" si="59"/>
        <v>N</v>
      </c>
      <c r="S105" s="1" t="str">
        <f t="shared" si="60"/>
        <v>N</v>
      </c>
      <c r="T105" s="1" t="str">
        <f t="shared" si="44"/>
        <v>N</v>
      </c>
      <c r="U105" s="1" t="str">
        <f t="shared" si="61"/>
        <v>N</v>
      </c>
      <c r="V105" s="1" t="str">
        <f t="shared" si="61"/>
        <v>N</v>
      </c>
      <c r="Y105" s="1" t="str">
        <f t="shared" si="45"/>
        <v>N</v>
      </c>
      <c r="Z105" s="1" t="str">
        <f t="shared" si="46"/>
        <v>N</v>
      </c>
      <c r="AA105" s="1" t="str">
        <f t="shared" si="47"/>
        <v>N</v>
      </c>
      <c r="AB105" s="1" t="str">
        <f t="shared" si="48"/>
        <v>N</v>
      </c>
      <c r="AC105" s="1" t="str">
        <f t="shared" si="49"/>
        <v>N</v>
      </c>
      <c r="AD105" s="1" t="str">
        <f t="shared" si="50"/>
        <v>N</v>
      </c>
      <c r="AE105" s="1" t="str">
        <f t="shared" si="51"/>
        <v>N</v>
      </c>
      <c r="AF105" s="1" t="str">
        <f t="shared" si="52"/>
        <v>N</v>
      </c>
      <c r="AG105" s="1" t="str">
        <f t="shared" si="53"/>
        <v>N</v>
      </c>
      <c r="AH105" s="1" t="str">
        <f t="shared" si="54"/>
        <v>N</v>
      </c>
    </row>
    <row r="106" spans="1:34" x14ac:dyDescent="0.3">
      <c r="A106" s="1" t="s">
        <v>271</v>
      </c>
      <c r="B106" s="1" t="s">
        <v>34</v>
      </c>
      <c r="C106" s="7" t="s">
        <v>370</v>
      </c>
      <c r="D106" s="7" t="s">
        <v>371</v>
      </c>
      <c r="E106" s="7">
        <v>40.054460486414698</v>
      </c>
      <c r="F106" s="7" t="s">
        <v>372</v>
      </c>
      <c r="G106" s="7" t="s">
        <v>373</v>
      </c>
      <c r="H106" s="7" t="s">
        <v>374</v>
      </c>
      <c r="I106" s="7" t="s">
        <v>375</v>
      </c>
      <c r="J106" s="7" t="s">
        <v>376</v>
      </c>
      <c r="K106" s="7" t="s">
        <v>377</v>
      </c>
      <c r="M106" s="1" t="str">
        <f t="shared" si="37"/>
        <v>N</v>
      </c>
      <c r="N106" s="1" t="str">
        <f t="shared" si="55"/>
        <v>N</v>
      </c>
      <c r="O106" s="1" t="str">
        <f t="shared" si="56"/>
        <v>N</v>
      </c>
      <c r="P106" s="1" t="str">
        <f t="shared" si="57"/>
        <v>N</v>
      </c>
      <c r="Q106" s="1" t="str">
        <f t="shared" si="58"/>
        <v>N</v>
      </c>
      <c r="R106" s="1" t="str">
        <f t="shared" si="59"/>
        <v>N</v>
      </c>
      <c r="S106" s="1" t="str">
        <f t="shared" si="60"/>
        <v>N</v>
      </c>
      <c r="T106" s="1" t="str">
        <f t="shared" si="44"/>
        <v>N</v>
      </c>
      <c r="U106" s="1" t="str">
        <f t="shared" si="61"/>
        <v>N</v>
      </c>
      <c r="V106" s="1" t="str">
        <f t="shared" si="61"/>
        <v>N</v>
      </c>
      <c r="Y106" s="1" t="str">
        <f t="shared" si="45"/>
        <v>N</v>
      </c>
      <c r="Z106" s="1" t="str">
        <f t="shared" si="46"/>
        <v>N</v>
      </c>
      <c r="AA106" s="1" t="str">
        <f t="shared" si="47"/>
        <v>N</v>
      </c>
      <c r="AB106" s="1" t="str">
        <f t="shared" si="48"/>
        <v>N</v>
      </c>
      <c r="AC106" s="1" t="str">
        <f t="shared" si="49"/>
        <v>N</v>
      </c>
      <c r="AD106" s="1" t="str">
        <f t="shared" si="50"/>
        <v>N</v>
      </c>
      <c r="AE106" s="1" t="str">
        <f t="shared" si="51"/>
        <v>N</v>
      </c>
      <c r="AF106" s="1" t="str">
        <f t="shared" si="52"/>
        <v>N</v>
      </c>
      <c r="AG106" s="1" t="str">
        <f t="shared" si="53"/>
        <v>N</v>
      </c>
      <c r="AH106" s="1" t="str">
        <f t="shared" si="54"/>
        <v>N</v>
      </c>
    </row>
    <row r="107" spans="1:34" x14ac:dyDescent="0.3">
      <c r="A107" s="1" t="s">
        <v>272</v>
      </c>
      <c r="B107" s="1" t="s">
        <v>31</v>
      </c>
      <c r="C107" s="7" t="s">
        <v>370</v>
      </c>
      <c r="D107" s="7" t="s">
        <v>371</v>
      </c>
      <c r="E107" s="7">
        <v>95.582794902133898</v>
      </c>
      <c r="F107" s="7" t="s">
        <v>372</v>
      </c>
      <c r="G107" s="7">
        <v>19.327957894213</v>
      </c>
      <c r="H107" s="7" t="s">
        <v>374</v>
      </c>
      <c r="I107" s="7" t="s">
        <v>375</v>
      </c>
      <c r="J107" s="7" t="s">
        <v>376</v>
      </c>
      <c r="K107" s="7">
        <v>57.964358260265001</v>
      </c>
      <c r="M107" s="1" t="str">
        <f t="shared" si="37"/>
        <v>N</v>
      </c>
      <c r="N107" s="1" t="str">
        <f t="shared" si="55"/>
        <v>N</v>
      </c>
      <c r="O107" s="1" t="str">
        <f t="shared" si="56"/>
        <v>N</v>
      </c>
      <c r="P107" s="1" t="str">
        <f t="shared" si="57"/>
        <v>N</v>
      </c>
      <c r="Q107" s="1" t="str">
        <f t="shared" si="58"/>
        <v>N</v>
      </c>
      <c r="R107" s="1" t="str">
        <f t="shared" si="59"/>
        <v>N</v>
      </c>
      <c r="S107" s="1" t="str">
        <f t="shared" si="60"/>
        <v>N</v>
      </c>
      <c r="T107" s="1" t="str">
        <f t="shared" si="44"/>
        <v>N</v>
      </c>
      <c r="U107" s="1" t="str">
        <f t="shared" si="61"/>
        <v>N</v>
      </c>
      <c r="V107" s="1" t="str">
        <f t="shared" si="61"/>
        <v>N</v>
      </c>
      <c r="Y107" s="1" t="str">
        <f t="shared" si="45"/>
        <v>N</v>
      </c>
      <c r="Z107" s="1" t="str">
        <f t="shared" si="46"/>
        <v>N</v>
      </c>
      <c r="AA107" s="1" t="str">
        <f t="shared" si="47"/>
        <v>N</v>
      </c>
      <c r="AB107" s="1" t="str">
        <f t="shared" si="48"/>
        <v>N</v>
      </c>
      <c r="AC107" s="1" t="str">
        <f t="shared" si="49"/>
        <v>N</v>
      </c>
      <c r="AD107" s="1" t="str">
        <f t="shared" si="50"/>
        <v>N</v>
      </c>
      <c r="AE107" s="1" t="str">
        <f t="shared" si="51"/>
        <v>N</v>
      </c>
      <c r="AF107" s="1" t="str">
        <f t="shared" si="52"/>
        <v>N</v>
      </c>
      <c r="AG107" s="1" t="str">
        <f t="shared" si="53"/>
        <v>N</v>
      </c>
      <c r="AH107" s="1" t="str">
        <f t="shared" si="54"/>
        <v>N</v>
      </c>
    </row>
    <row r="108" spans="1:34" x14ac:dyDescent="0.3">
      <c r="A108" s="1" t="s">
        <v>273</v>
      </c>
      <c r="B108" s="1" t="s">
        <v>36</v>
      </c>
      <c r="C108" s="7" t="s">
        <v>370</v>
      </c>
      <c r="D108" s="7" t="s">
        <v>371</v>
      </c>
      <c r="E108" s="7">
        <v>50.127760296218</v>
      </c>
      <c r="F108" s="7" t="s">
        <v>372</v>
      </c>
      <c r="G108" s="7">
        <v>3.3845059278168699</v>
      </c>
      <c r="H108" s="7" t="s">
        <v>374</v>
      </c>
      <c r="I108" s="7" t="s">
        <v>375</v>
      </c>
      <c r="J108" s="7" t="s">
        <v>376</v>
      </c>
      <c r="K108" s="7">
        <v>7.1196015001173398</v>
      </c>
      <c r="M108" s="1" t="str">
        <f t="shared" si="37"/>
        <v>N</v>
      </c>
      <c r="N108" s="1" t="str">
        <f t="shared" si="55"/>
        <v>N</v>
      </c>
      <c r="O108" s="1" t="str">
        <f t="shared" si="56"/>
        <v>N</v>
      </c>
      <c r="P108" s="1" t="str">
        <f t="shared" si="57"/>
        <v>N</v>
      </c>
      <c r="Q108" s="1" t="str">
        <f t="shared" si="58"/>
        <v>N</v>
      </c>
      <c r="R108" s="1" t="str">
        <f t="shared" si="59"/>
        <v>N</v>
      </c>
      <c r="S108" s="1" t="str">
        <f t="shared" si="60"/>
        <v>N</v>
      </c>
      <c r="T108" s="1" t="str">
        <f t="shared" si="44"/>
        <v>N</v>
      </c>
      <c r="U108" s="1" t="str">
        <f t="shared" si="61"/>
        <v>N</v>
      </c>
      <c r="V108" s="1" t="str">
        <f t="shared" si="61"/>
        <v>N</v>
      </c>
      <c r="Y108" s="1" t="str">
        <f t="shared" si="45"/>
        <v>N</v>
      </c>
      <c r="Z108" s="1" t="str">
        <f t="shared" si="46"/>
        <v>N</v>
      </c>
      <c r="AA108" s="1" t="str">
        <f t="shared" si="47"/>
        <v>N</v>
      </c>
      <c r="AB108" s="1" t="str">
        <f t="shared" si="48"/>
        <v>N</v>
      </c>
      <c r="AC108" s="1" t="str">
        <f t="shared" si="49"/>
        <v>N</v>
      </c>
      <c r="AD108" s="1" t="str">
        <f t="shared" si="50"/>
        <v>N</v>
      </c>
      <c r="AE108" s="1" t="str">
        <f t="shared" si="51"/>
        <v>N</v>
      </c>
      <c r="AF108" s="1" t="str">
        <f t="shared" si="52"/>
        <v>N</v>
      </c>
      <c r="AG108" s="1" t="str">
        <f t="shared" si="53"/>
        <v>N</v>
      </c>
      <c r="AH108" s="1" t="str">
        <f t="shared" si="54"/>
        <v>N</v>
      </c>
    </row>
    <row r="109" spans="1:34" x14ac:dyDescent="0.3">
      <c r="A109" s="1" t="s">
        <v>274</v>
      </c>
      <c r="B109" s="1" t="s">
        <v>23</v>
      </c>
      <c r="C109" s="7" t="s">
        <v>370</v>
      </c>
      <c r="D109" s="7" t="s">
        <v>371</v>
      </c>
      <c r="E109" s="7">
        <v>70.082419973529795</v>
      </c>
      <c r="F109" s="7" t="s">
        <v>372</v>
      </c>
      <c r="G109" s="7" t="s">
        <v>373</v>
      </c>
      <c r="H109" s="7" t="s">
        <v>374</v>
      </c>
      <c r="I109" s="7" t="s">
        <v>375</v>
      </c>
      <c r="J109" s="7" t="s">
        <v>376</v>
      </c>
      <c r="K109" s="7" t="s">
        <v>377</v>
      </c>
      <c r="M109" s="1" t="str">
        <f t="shared" si="37"/>
        <v>N</v>
      </c>
      <c r="N109" s="1" t="str">
        <f t="shared" si="55"/>
        <v>N</v>
      </c>
      <c r="O109" s="1" t="str">
        <f t="shared" si="56"/>
        <v>N</v>
      </c>
      <c r="P109" s="1" t="str">
        <f t="shared" si="57"/>
        <v>N</v>
      </c>
      <c r="Q109" s="1" t="str">
        <f t="shared" si="58"/>
        <v>N</v>
      </c>
      <c r="R109" s="1" t="str">
        <f t="shared" si="59"/>
        <v>N</v>
      </c>
      <c r="S109" s="1" t="str">
        <f t="shared" si="60"/>
        <v>N</v>
      </c>
      <c r="T109" s="1" t="str">
        <f t="shared" si="44"/>
        <v>N</v>
      </c>
      <c r="U109" s="1" t="str">
        <f t="shared" si="61"/>
        <v>N</v>
      </c>
      <c r="V109" s="1" t="str">
        <f t="shared" si="61"/>
        <v>N</v>
      </c>
      <c r="Y109" s="1" t="str">
        <f t="shared" si="45"/>
        <v>N</v>
      </c>
      <c r="Z109" s="1" t="str">
        <f t="shared" si="46"/>
        <v>N</v>
      </c>
      <c r="AA109" s="1" t="str">
        <f t="shared" si="47"/>
        <v>N</v>
      </c>
      <c r="AB109" s="1" t="str">
        <f t="shared" si="48"/>
        <v>N</v>
      </c>
      <c r="AC109" s="1" t="str">
        <f t="shared" si="49"/>
        <v>N</v>
      </c>
      <c r="AD109" s="1" t="str">
        <f t="shared" si="50"/>
        <v>N</v>
      </c>
      <c r="AE109" s="1" t="str">
        <f t="shared" si="51"/>
        <v>N</v>
      </c>
      <c r="AF109" s="1" t="str">
        <f t="shared" si="52"/>
        <v>N</v>
      </c>
      <c r="AG109" s="1" t="str">
        <f t="shared" si="53"/>
        <v>N</v>
      </c>
      <c r="AH109" s="1" t="str">
        <f t="shared" si="54"/>
        <v>N</v>
      </c>
    </row>
    <row r="110" spans="1:34" x14ac:dyDescent="0.3">
      <c r="A110" s="1" t="s">
        <v>275</v>
      </c>
      <c r="B110" s="1" t="s">
        <v>81</v>
      </c>
      <c r="C110" s="7" t="s">
        <v>370</v>
      </c>
      <c r="D110" s="7" t="s">
        <v>371</v>
      </c>
      <c r="E110" s="7">
        <v>38.195329810463903</v>
      </c>
      <c r="F110" s="7" t="s">
        <v>372</v>
      </c>
      <c r="G110" s="7" t="s">
        <v>373</v>
      </c>
      <c r="H110" s="7" t="s">
        <v>374</v>
      </c>
      <c r="I110" s="7" t="s">
        <v>375</v>
      </c>
      <c r="J110" s="7" t="s">
        <v>376</v>
      </c>
      <c r="K110" s="7" t="s">
        <v>377</v>
      </c>
      <c r="M110" s="1" t="str">
        <f t="shared" si="37"/>
        <v>N</v>
      </c>
      <c r="N110" s="1" t="str">
        <f t="shared" si="55"/>
        <v>N</v>
      </c>
      <c r="O110" s="1" t="str">
        <f t="shared" si="56"/>
        <v>N</v>
      </c>
      <c r="P110" s="1" t="str">
        <f t="shared" si="57"/>
        <v>N</v>
      </c>
      <c r="Q110" s="1" t="str">
        <f t="shared" si="58"/>
        <v>N</v>
      </c>
      <c r="R110" s="1" t="str">
        <f t="shared" si="59"/>
        <v>N</v>
      </c>
      <c r="S110" s="1" t="str">
        <f t="shared" si="60"/>
        <v>N</v>
      </c>
      <c r="T110" s="1" t="str">
        <f t="shared" si="44"/>
        <v>N</v>
      </c>
      <c r="U110" s="1" t="str">
        <f t="shared" si="61"/>
        <v>N</v>
      </c>
      <c r="V110" s="1" t="str">
        <f t="shared" si="61"/>
        <v>N</v>
      </c>
      <c r="Y110" s="1" t="str">
        <f t="shared" si="45"/>
        <v>N</v>
      </c>
      <c r="Z110" s="1" t="str">
        <f t="shared" si="46"/>
        <v>N</v>
      </c>
      <c r="AA110" s="1" t="str">
        <f t="shared" si="47"/>
        <v>N</v>
      </c>
      <c r="AB110" s="1" t="str">
        <f t="shared" si="48"/>
        <v>N</v>
      </c>
      <c r="AC110" s="1" t="str">
        <f t="shared" si="49"/>
        <v>N</v>
      </c>
      <c r="AD110" s="1" t="str">
        <f t="shared" si="50"/>
        <v>N</v>
      </c>
      <c r="AE110" s="1" t="str">
        <f t="shared" si="51"/>
        <v>N</v>
      </c>
      <c r="AF110" s="1" t="str">
        <f t="shared" si="52"/>
        <v>N</v>
      </c>
      <c r="AG110" s="1" t="str">
        <f t="shared" si="53"/>
        <v>N</v>
      </c>
      <c r="AH110" s="1" t="str">
        <f t="shared" si="54"/>
        <v>N</v>
      </c>
    </row>
    <row r="111" spans="1:34" x14ac:dyDescent="0.3">
      <c r="A111" s="1" t="s">
        <v>276</v>
      </c>
      <c r="B111" s="1" t="s">
        <v>58</v>
      </c>
      <c r="C111" s="7" t="s">
        <v>370</v>
      </c>
      <c r="D111" s="7" t="s">
        <v>371</v>
      </c>
      <c r="E111" s="7">
        <v>19.040172875395399</v>
      </c>
      <c r="F111" s="7" t="s">
        <v>372</v>
      </c>
      <c r="G111" s="7" t="s">
        <v>373</v>
      </c>
      <c r="H111" s="7" t="s">
        <v>374</v>
      </c>
      <c r="I111" s="7" t="s">
        <v>375</v>
      </c>
      <c r="J111" s="7" t="s">
        <v>376</v>
      </c>
      <c r="K111" s="7" t="s">
        <v>377</v>
      </c>
      <c r="M111" s="1" t="str">
        <f t="shared" si="37"/>
        <v>N</v>
      </c>
      <c r="N111" s="1" t="str">
        <f t="shared" si="55"/>
        <v>N</v>
      </c>
      <c r="O111" s="1" t="str">
        <f t="shared" si="56"/>
        <v>N</v>
      </c>
      <c r="P111" s="1" t="str">
        <f t="shared" si="57"/>
        <v>N</v>
      </c>
      <c r="Q111" s="1" t="str">
        <f t="shared" si="58"/>
        <v>N</v>
      </c>
      <c r="R111" s="1" t="str">
        <f t="shared" si="59"/>
        <v>N</v>
      </c>
      <c r="S111" s="1" t="str">
        <f t="shared" si="60"/>
        <v>N</v>
      </c>
      <c r="T111" s="1" t="str">
        <f t="shared" si="44"/>
        <v>N</v>
      </c>
      <c r="U111" s="1" t="str">
        <f t="shared" si="61"/>
        <v>N</v>
      </c>
      <c r="V111" s="1" t="str">
        <f t="shared" si="61"/>
        <v>N</v>
      </c>
      <c r="Y111" s="1" t="str">
        <f t="shared" si="45"/>
        <v>N</v>
      </c>
      <c r="Z111" s="1" t="str">
        <f t="shared" si="46"/>
        <v>N</v>
      </c>
      <c r="AA111" s="1" t="str">
        <f t="shared" si="47"/>
        <v>N</v>
      </c>
      <c r="AB111" s="1" t="str">
        <f t="shared" si="48"/>
        <v>N</v>
      </c>
      <c r="AC111" s="1" t="str">
        <f t="shared" si="49"/>
        <v>N</v>
      </c>
      <c r="AD111" s="1" t="str">
        <f t="shared" si="50"/>
        <v>N</v>
      </c>
      <c r="AE111" s="1" t="str">
        <f t="shared" si="51"/>
        <v>N</v>
      </c>
      <c r="AF111" s="1" t="str">
        <f t="shared" si="52"/>
        <v>N</v>
      </c>
      <c r="AG111" s="1" t="str">
        <f t="shared" si="53"/>
        <v>N</v>
      </c>
      <c r="AH111" s="1" t="str">
        <f t="shared" si="54"/>
        <v>N</v>
      </c>
    </row>
    <row r="112" spans="1:34" x14ac:dyDescent="0.3">
      <c r="A112" s="1" t="s">
        <v>277</v>
      </c>
      <c r="B112" s="1" t="s">
        <v>79</v>
      </c>
      <c r="C112" s="7" t="s">
        <v>370</v>
      </c>
      <c r="D112" s="7" t="s">
        <v>371</v>
      </c>
      <c r="E112" s="7">
        <v>33.197551324979798</v>
      </c>
      <c r="F112" s="7" t="s">
        <v>372</v>
      </c>
      <c r="G112" s="7" t="s">
        <v>373</v>
      </c>
      <c r="H112" s="7" t="s">
        <v>374</v>
      </c>
      <c r="I112" s="7" t="s">
        <v>375</v>
      </c>
      <c r="J112" s="7" t="s">
        <v>376</v>
      </c>
      <c r="K112" s="7" t="s">
        <v>377</v>
      </c>
      <c r="M112" s="1" t="str">
        <f t="shared" si="37"/>
        <v>N</v>
      </c>
      <c r="N112" s="1" t="str">
        <f t="shared" si="55"/>
        <v>N</v>
      </c>
      <c r="O112" s="1" t="str">
        <f t="shared" si="56"/>
        <v>N</v>
      </c>
      <c r="P112" s="1" t="str">
        <f t="shared" si="57"/>
        <v>N</v>
      </c>
      <c r="Q112" s="1" t="str">
        <f t="shared" si="58"/>
        <v>N</v>
      </c>
      <c r="R112" s="1" t="str">
        <f t="shared" si="59"/>
        <v>N</v>
      </c>
      <c r="S112" s="1" t="str">
        <f t="shared" si="60"/>
        <v>N</v>
      </c>
      <c r="T112" s="1" t="str">
        <f t="shared" si="44"/>
        <v>N</v>
      </c>
      <c r="U112" s="1" t="str">
        <f t="shared" si="61"/>
        <v>N</v>
      </c>
      <c r="V112" s="1" t="str">
        <f t="shared" si="61"/>
        <v>N</v>
      </c>
      <c r="Y112" s="1" t="str">
        <f t="shared" si="45"/>
        <v>N</v>
      </c>
      <c r="Z112" s="1" t="str">
        <f t="shared" si="46"/>
        <v>N</v>
      </c>
      <c r="AA112" s="1" t="str">
        <f t="shared" si="47"/>
        <v>N</v>
      </c>
      <c r="AB112" s="1" t="str">
        <f t="shared" si="48"/>
        <v>N</v>
      </c>
      <c r="AC112" s="1" t="str">
        <f t="shared" si="49"/>
        <v>N</v>
      </c>
      <c r="AD112" s="1" t="str">
        <f t="shared" si="50"/>
        <v>N</v>
      </c>
      <c r="AE112" s="1" t="str">
        <f t="shared" si="51"/>
        <v>N</v>
      </c>
      <c r="AF112" s="1" t="str">
        <f t="shared" si="52"/>
        <v>N</v>
      </c>
      <c r="AG112" s="1" t="str">
        <f t="shared" si="53"/>
        <v>N</v>
      </c>
      <c r="AH112" s="1" t="str">
        <f t="shared" si="54"/>
        <v>N</v>
      </c>
    </row>
    <row r="113" spans="1:34" x14ac:dyDescent="0.3">
      <c r="A113" s="1" t="s">
        <v>278</v>
      </c>
      <c r="B113" s="1" t="s">
        <v>75</v>
      </c>
      <c r="C113" s="7" t="s">
        <v>370</v>
      </c>
      <c r="D113" s="7" t="s">
        <v>371</v>
      </c>
      <c r="E113" s="7">
        <v>25.1431040230785</v>
      </c>
      <c r="F113" s="7" t="s">
        <v>372</v>
      </c>
      <c r="G113" s="7">
        <v>25.314084947156999</v>
      </c>
      <c r="H113" s="7" t="s">
        <v>374</v>
      </c>
      <c r="I113" s="7" t="s">
        <v>375</v>
      </c>
      <c r="J113" s="7" t="s">
        <v>376</v>
      </c>
      <c r="K113" s="7" t="s">
        <v>377</v>
      </c>
      <c r="M113" s="1" t="str">
        <f t="shared" si="37"/>
        <v>N</v>
      </c>
      <c r="N113" s="1" t="str">
        <f t="shared" si="55"/>
        <v>N</v>
      </c>
      <c r="O113" s="1" t="str">
        <f t="shared" si="56"/>
        <v>N</v>
      </c>
      <c r="P113" s="1" t="str">
        <f t="shared" si="57"/>
        <v>N</v>
      </c>
      <c r="Q113" s="1" t="str">
        <f t="shared" si="58"/>
        <v>N</v>
      </c>
      <c r="R113" s="1" t="str">
        <f t="shared" si="59"/>
        <v>N</v>
      </c>
      <c r="S113" s="1" t="str">
        <f t="shared" si="60"/>
        <v>N</v>
      </c>
      <c r="T113" s="1" t="str">
        <f t="shared" si="44"/>
        <v>N</v>
      </c>
      <c r="U113" s="1" t="str">
        <f t="shared" si="61"/>
        <v>N</v>
      </c>
      <c r="V113" s="1" t="str">
        <f t="shared" si="61"/>
        <v>N</v>
      </c>
      <c r="Y113" s="1" t="str">
        <f t="shared" si="45"/>
        <v>N</v>
      </c>
      <c r="Z113" s="1" t="str">
        <f t="shared" si="46"/>
        <v>N</v>
      </c>
      <c r="AA113" s="1" t="str">
        <f t="shared" si="47"/>
        <v>N</v>
      </c>
      <c r="AB113" s="1" t="str">
        <f t="shared" si="48"/>
        <v>N</v>
      </c>
      <c r="AC113" s="1" t="str">
        <f t="shared" si="49"/>
        <v>N</v>
      </c>
      <c r="AD113" s="1" t="str">
        <f t="shared" si="50"/>
        <v>N</v>
      </c>
      <c r="AE113" s="1" t="str">
        <f t="shared" si="51"/>
        <v>N</v>
      </c>
      <c r="AF113" s="1" t="str">
        <f t="shared" si="52"/>
        <v>N</v>
      </c>
      <c r="AG113" s="1" t="str">
        <f t="shared" si="53"/>
        <v>N</v>
      </c>
      <c r="AH113" s="1" t="str">
        <f t="shared" si="54"/>
        <v>N</v>
      </c>
    </row>
    <row r="114" spans="1:34" x14ac:dyDescent="0.3">
      <c r="A114" s="1" t="s">
        <v>279</v>
      </c>
      <c r="B114" s="1" t="s">
        <v>103</v>
      </c>
      <c r="C114" s="7" t="s">
        <v>370</v>
      </c>
      <c r="D114" s="7" t="s">
        <v>371</v>
      </c>
      <c r="E114" s="7">
        <v>250.995306749896</v>
      </c>
      <c r="F114" s="7" t="s">
        <v>372</v>
      </c>
      <c r="G114" s="7">
        <v>145.327028890669</v>
      </c>
      <c r="H114" s="7" t="s">
        <v>374</v>
      </c>
      <c r="I114" s="7" t="s">
        <v>375</v>
      </c>
      <c r="J114" s="7" t="s">
        <v>376</v>
      </c>
      <c r="K114" s="7">
        <v>28.908930790047201</v>
      </c>
      <c r="M114" s="1" t="str">
        <f t="shared" si="37"/>
        <v>N</v>
      </c>
      <c r="N114" s="1" t="str">
        <f t="shared" si="55"/>
        <v>N</v>
      </c>
      <c r="O114" s="1" t="str">
        <f t="shared" si="56"/>
        <v>N</v>
      </c>
      <c r="P114" s="1" t="str">
        <f t="shared" si="57"/>
        <v>N</v>
      </c>
      <c r="Q114" s="1" t="str">
        <f t="shared" si="58"/>
        <v>Y</v>
      </c>
      <c r="R114" s="1" t="str">
        <f t="shared" si="59"/>
        <v>N</v>
      </c>
      <c r="S114" s="1" t="str">
        <f t="shared" si="60"/>
        <v>N</v>
      </c>
      <c r="T114" s="1" t="str">
        <f t="shared" si="44"/>
        <v>N</v>
      </c>
      <c r="U114" s="1" t="str">
        <f t="shared" si="61"/>
        <v>N</v>
      </c>
      <c r="V114" s="1" t="str">
        <f t="shared" si="61"/>
        <v>N</v>
      </c>
      <c r="Y114" s="1" t="str">
        <f t="shared" si="45"/>
        <v>N</v>
      </c>
      <c r="Z114" s="1" t="str">
        <f t="shared" si="46"/>
        <v>N</v>
      </c>
      <c r="AA114" s="1" t="str">
        <f t="shared" si="47"/>
        <v>N</v>
      </c>
      <c r="AB114" s="1" t="str">
        <f t="shared" si="48"/>
        <v>N</v>
      </c>
      <c r="AC114" s="1" t="str">
        <f t="shared" si="49"/>
        <v>Y</v>
      </c>
      <c r="AD114" s="1" t="str">
        <f t="shared" si="50"/>
        <v>N</v>
      </c>
      <c r="AE114" s="1" t="str">
        <f t="shared" si="51"/>
        <v>N</v>
      </c>
      <c r="AF114" s="1" t="str">
        <f t="shared" si="52"/>
        <v>N</v>
      </c>
      <c r="AG114" s="1" t="str">
        <f t="shared" si="53"/>
        <v>N</v>
      </c>
      <c r="AH114" s="1" t="str">
        <f t="shared" si="54"/>
        <v>N</v>
      </c>
    </row>
    <row r="115" spans="1:34" x14ac:dyDescent="0.3">
      <c r="A115" s="1" t="s">
        <v>280</v>
      </c>
      <c r="B115" s="1" t="s">
        <v>105</v>
      </c>
      <c r="C115" s="7" t="s">
        <v>370</v>
      </c>
      <c r="D115" s="7" t="s">
        <v>371</v>
      </c>
      <c r="E115" s="7">
        <v>31.385738882564201</v>
      </c>
      <c r="F115" s="7" t="s">
        <v>372</v>
      </c>
      <c r="G115" s="7">
        <v>13.584894452472501</v>
      </c>
      <c r="H115" s="7" t="s">
        <v>374</v>
      </c>
      <c r="I115" s="7" t="s">
        <v>375</v>
      </c>
      <c r="J115" s="7" t="s">
        <v>376</v>
      </c>
      <c r="K115" s="7" t="s">
        <v>377</v>
      </c>
      <c r="M115" s="1" t="str">
        <f t="shared" si="37"/>
        <v>N</v>
      </c>
      <c r="N115" s="1" t="str">
        <f t="shared" si="55"/>
        <v>N</v>
      </c>
      <c r="O115" s="1" t="str">
        <f t="shared" si="56"/>
        <v>N</v>
      </c>
      <c r="P115" s="1" t="str">
        <f t="shared" si="57"/>
        <v>N</v>
      </c>
      <c r="Q115" s="1" t="str">
        <f t="shared" si="58"/>
        <v>N</v>
      </c>
      <c r="R115" s="1" t="str">
        <f t="shared" si="59"/>
        <v>N</v>
      </c>
      <c r="S115" s="1" t="str">
        <f t="shared" si="60"/>
        <v>N</v>
      </c>
      <c r="T115" s="1" t="str">
        <f t="shared" si="44"/>
        <v>N</v>
      </c>
      <c r="U115" s="1" t="str">
        <f t="shared" si="61"/>
        <v>N</v>
      </c>
      <c r="V115" s="1" t="str">
        <f t="shared" si="61"/>
        <v>N</v>
      </c>
      <c r="Y115" s="1" t="str">
        <f t="shared" si="45"/>
        <v>N</v>
      </c>
      <c r="Z115" s="1" t="str">
        <f t="shared" si="46"/>
        <v>N</v>
      </c>
      <c r="AA115" s="1" t="str">
        <f t="shared" si="47"/>
        <v>N</v>
      </c>
      <c r="AB115" s="1" t="str">
        <f t="shared" si="48"/>
        <v>N</v>
      </c>
      <c r="AC115" s="1" t="str">
        <f t="shared" si="49"/>
        <v>N</v>
      </c>
      <c r="AD115" s="1" t="str">
        <f t="shared" si="50"/>
        <v>N</v>
      </c>
      <c r="AE115" s="1" t="str">
        <f t="shared" si="51"/>
        <v>N</v>
      </c>
      <c r="AF115" s="1" t="str">
        <f t="shared" si="52"/>
        <v>N</v>
      </c>
      <c r="AG115" s="1" t="str">
        <f t="shared" si="53"/>
        <v>N</v>
      </c>
      <c r="AH115" s="1" t="str">
        <f t="shared" si="54"/>
        <v>N</v>
      </c>
    </row>
    <row r="116" spans="1:34" x14ac:dyDescent="0.3">
      <c r="A116" s="1" t="s">
        <v>281</v>
      </c>
      <c r="B116" s="1" t="s">
        <v>102</v>
      </c>
      <c r="C116" s="7" t="s">
        <v>370</v>
      </c>
      <c r="D116" s="7" t="s">
        <v>371</v>
      </c>
      <c r="E116" s="7">
        <v>11.5993619305994</v>
      </c>
      <c r="F116" s="7" t="s">
        <v>372</v>
      </c>
      <c r="G116" s="7">
        <v>17.542331691326499</v>
      </c>
      <c r="H116" s="7" t="s">
        <v>374</v>
      </c>
      <c r="I116" s="7" t="s">
        <v>375</v>
      </c>
      <c r="J116" s="7" t="s">
        <v>376</v>
      </c>
      <c r="K116" s="7" t="s">
        <v>377</v>
      </c>
      <c r="M116" s="1" t="str">
        <f t="shared" si="37"/>
        <v>N</v>
      </c>
      <c r="N116" s="1" t="str">
        <f t="shared" si="55"/>
        <v>N</v>
      </c>
      <c r="O116" s="1" t="str">
        <f t="shared" si="56"/>
        <v>N</v>
      </c>
      <c r="P116" s="1" t="str">
        <f t="shared" si="57"/>
        <v>N</v>
      </c>
      <c r="Q116" s="1" t="str">
        <f t="shared" si="58"/>
        <v>N</v>
      </c>
      <c r="R116" s="1" t="str">
        <f t="shared" si="59"/>
        <v>N</v>
      </c>
      <c r="S116" s="1" t="str">
        <f t="shared" si="60"/>
        <v>N</v>
      </c>
      <c r="T116" s="1" t="str">
        <f t="shared" si="44"/>
        <v>N</v>
      </c>
      <c r="U116" s="1" t="str">
        <f t="shared" si="61"/>
        <v>N</v>
      </c>
      <c r="V116" s="1" t="str">
        <f t="shared" si="61"/>
        <v>N</v>
      </c>
      <c r="Y116" s="1" t="str">
        <f t="shared" si="45"/>
        <v>N</v>
      </c>
      <c r="Z116" s="1" t="str">
        <f t="shared" si="46"/>
        <v>N</v>
      </c>
      <c r="AA116" s="1" t="str">
        <f t="shared" si="47"/>
        <v>N</v>
      </c>
      <c r="AB116" s="1" t="str">
        <f t="shared" si="48"/>
        <v>N</v>
      </c>
      <c r="AC116" s="1" t="str">
        <f t="shared" si="49"/>
        <v>N</v>
      </c>
      <c r="AD116" s="1" t="str">
        <f t="shared" si="50"/>
        <v>N</v>
      </c>
      <c r="AE116" s="1" t="str">
        <f t="shared" si="51"/>
        <v>N</v>
      </c>
      <c r="AF116" s="1" t="str">
        <f t="shared" si="52"/>
        <v>N</v>
      </c>
      <c r="AG116" s="1" t="str">
        <f t="shared" si="53"/>
        <v>N</v>
      </c>
      <c r="AH116" s="1" t="str">
        <f t="shared" si="54"/>
        <v>N</v>
      </c>
    </row>
    <row r="117" spans="1:34" x14ac:dyDescent="0.3">
      <c r="A117" s="1" t="s">
        <v>282</v>
      </c>
      <c r="B117" s="1" t="s">
        <v>106</v>
      </c>
      <c r="C117" s="7" t="s">
        <v>370</v>
      </c>
      <c r="D117" s="7" t="s">
        <v>371</v>
      </c>
      <c r="E117" s="7">
        <v>30.9918120639948</v>
      </c>
      <c r="F117" s="7" t="s">
        <v>372</v>
      </c>
      <c r="G117" s="7">
        <v>138.79105870628899</v>
      </c>
      <c r="H117" s="7" t="s">
        <v>374</v>
      </c>
      <c r="I117" s="7" t="s">
        <v>375</v>
      </c>
      <c r="J117" s="7" t="s">
        <v>376</v>
      </c>
      <c r="K117" s="7" t="s">
        <v>377</v>
      </c>
      <c r="M117" s="1" t="str">
        <f t="shared" si="37"/>
        <v>N</v>
      </c>
      <c r="N117" s="1" t="str">
        <f t="shared" si="55"/>
        <v>N</v>
      </c>
      <c r="O117" s="1" t="str">
        <f t="shared" si="56"/>
        <v>N</v>
      </c>
      <c r="P117" s="1" t="str">
        <f t="shared" si="57"/>
        <v>N</v>
      </c>
      <c r="Q117" s="1" t="str">
        <f t="shared" si="58"/>
        <v>Y</v>
      </c>
      <c r="R117" s="1" t="str">
        <f t="shared" si="59"/>
        <v>N</v>
      </c>
      <c r="S117" s="1" t="str">
        <f t="shared" si="60"/>
        <v>N</v>
      </c>
      <c r="T117" s="1" t="str">
        <f t="shared" si="44"/>
        <v>N</v>
      </c>
      <c r="U117" s="1" t="str">
        <f t="shared" si="61"/>
        <v>N</v>
      </c>
      <c r="V117" s="1" t="str">
        <f t="shared" si="61"/>
        <v>N</v>
      </c>
      <c r="Y117" s="1" t="str">
        <f t="shared" si="45"/>
        <v>N</v>
      </c>
      <c r="Z117" s="1" t="str">
        <f t="shared" si="46"/>
        <v>N</v>
      </c>
      <c r="AA117" s="1" t="str">
        <f t="shared" si="47"/>
        <v>N</v>
      </c>
      <c r="AB117" s="1" t="str">
        <f t="shared" si="48"/>
        <v>N</v>
      </c>
      <c r="AC117" s="1" t="str">
        <f t="shared" si="49"/>
        <v>Y</v>
      </c>
      <c r="AD117" s="1" t="str">
        <f t="shared" si="50"/>
        <v>N</v>
      </c>
      <c r="AE117" s="1" t="str">
        <f t="shared" si="51"/>
        <v>N</v>
      </c>
      <c r="AF117" s="1" t="str">
        <f t="shared" si="52"/>
        <v>N</v>
      </c>
      <c r="AG117" s="1" t="str">
        <f t="shared" si="53"/>
        <v>N</v>
      </c>
      <c r="AH117" s="1" t="str">
        <f t="shared" si="54"/>
        <v>N</v>
      </c>
    </row>
    <row r="118" spans="1:34" x14ac:dyDescent="0.3">
      <c r="A118" s="1" t="s">
        <v>283</v>
      </c>
      <c r="B118" s="1" t="s">
        <v>107</v>
      </c>
      <c r="C118" s="7" t="s">
        <v>370</v>
      </c>
      <c r="D118" s="7" t="s">
        <v>371</v>
      </c>
      <c r="E118" s="7">
        <v>12.4559817760719</v>
      </c>
      <c r="F118" s="7" t="s">
        <v>372</v>
      </c>
      <c r="G118" s="7">
        <v>60.0130751692665</v>
      </c>
      <c r="H118" s="7" t="s">
        <v>374</v>
      </c>
      <c r="I118" s="7" t="s">
        <v>375</v>
      </c>
      <c r="J118" s="7" t="s">
        <v>376</v>
      </c>
      <c r="K118" s="7" t="s">
        <v>377</v>
      </c>
      <c r="M118" s="1" t="str">
        <f t="shared" si="37"/>
        <v>N</v>
      </c>
      <c r="N118" s="1" t="str">
        <f t="shared" si="55"/>
        <v>N</v>
      </c>
      <c r="O118" s="1" t="str">
        <f t="shared" si="56"/>
        <v>N</v>
      </c>
      <c r="P118" s="1" t="str">
        <f t="shared" si="57"/>
        <v>N</v>
      </c>
      <c r="Q118" s="1" t="str">
        <f t="shared" si="58"/>
        <v>Y</v>
      </c>
      <c r="R118" s="1" t="str">
        <f t="shared" si="59"/>
        <v>N</v>
      </c>
      <c r="S118" s="1" t="str">
        <f t="shared" si="60"/>
        <v>N</v>
      </c>
      <c r="T118" s="1" t="str">
        <f t="shared" si="44"/>
        <v>N</v>
      </c>
      <c r="U118" s="1" t="str">
        <f t="shared" si="61"/>
        <v>N</v>
      </c>
      <c r="V118" s="1" t="str">
        <f t="shared" si="61"/>
        <v>N</v>
      </c>
      <c r="Y118" s="1" t="str">
        <f t="shared" si="45"/>
        <v>N</v>
      </c>
      <c r="Z118" s="1" t="str">
        <f t="shared" si="46"/>
        <v>N</v>
      </c>
      <c r="AA118" s="1" t="str">
        <f t="shared" si="47"/>
        <v>N</v>
      </c>
      <c r="AB118" s="1" t="str">
        <f t="shared" si="48"/>
        <v>N</v>
      </c>
      <c r="AC118" s="1" t="str">
        <f t="shared" si="49"/>
        <v>N</v>
      </c>
      <c r="AD118" s="1" t="str">
        <f t="shared" si="50"/>
        <v>N</v>
      </c>
      <c r="AE118" s="1" t="str">
        <f t="shared" si="51"/>
        <v>N</v>
      </c>
      <c r="AF118" s="1" t="str">
        <f t="shared" si="52"/>
        <v>N</v>
      </c>
      <c r="AG118" s="1" t="str">
        <f t="shared" si="53"/>
        <v>N</v>
      </c>
      <c r="AH118" s="1" t="str">
        <f t="shared" si="54"/>
        <v>N</v>
      </c>
    </row>
    <row r="119" spans="1:34" x14ac:dyDescent="0.3">
      <c r="A119" s="1" t="s">
        <v>284</v>
      </c>
      <c r="B119" s="1" t="s">
        <v>16</v>
      </c>
      <c r="C119" s="7" t="s">
        <v>370</v>
      </c>
      <c r="D119" s="7" t="s">
        <v>371</v>
      </c>
      <c r="E119" s="7">
        <v>37.413250583266702</v>
      </c>
      <c r="F119" s="7" t="s">
        <v>372</v>
      </c>
      <c r="G119" s="7">
        <v>5.52538383780802</v>
      </c>
      <c r="H119" s="7" t="s">
        <v>374</v>
      </c>
      <c r="I119" s="7" t="s">
        <v>375</v>
      </c>
      <c r="J119" s="7" t="s">
        <v>376</v>
      </c>
      <c r="K119" s="7" t="s">
        <v>377</v>
      </c>
      <c r="M119" s="1" t="str">
        <f t="shared" si="37"/>
        <v>N</v>
      </c>
      <c r="N119" s="1" t="str">
        <f t="shared" si="55"/>
        <v>N</v>
      </c>
      <c r="O119" s="1" t="str">
        <f t="shared" si="56"/>
        <v>N</v>
      </c>
      <c r="P119" s="1" t="str">
        <f t="shared" si="57"/>
        <v>N</v>
      </c>
      <c r="Q119" s="1" t="str">
        <f t="shared" si="58"/>
        <v>N</v>
      </c>
      <c r="R119" s="1" t="str">
        <f t="shared" si="59"/>
        <v>N</v>
      </c>
      <c r="S119" s="1" t="str">
        <f t="shared" si="60"/>
        <v>N</v>
      </c>
      <c r="T119" s="1" t="str">
        <f t="shared" si="44"/>
        <v>N</v>
      </c>
      <c r="U119" s="1" t="str">
        <f t="shared" si="61"/>
        <v>N</v>
      </c>
      <c r="V119" s="1" t="str">
        <f t="shared" si="61"/>
        <v>N</v>
      </c>
      <c r="Y119" s="1" t="str">
        <f t="shared" si="45"/>
        <v>N</v>
      </c>
      <c r="Z119" s="1" t="str">
        <f t="shared" si="46"/>
        <v>N</v>
      </c>
      <c r="AA119" s="1" t="str">
        <f t="shared" si="47"/>
        <v>N</v>
      </c>
      <c r="AB119" s="1" t="str">
        <f t="shared" si="48"/>
        <v>N</v>
      </c>
      <c r="AC119" s="1" t="str">
        <f t="shared" si="49"/>
        <v>N</v>
      </c>
      <c r="AD119" s="1" t="str">
        <f t="shared" si="50"/>
        <v>N</v>
      </c>
      <c r="AE119" s="1" t="str">
        <f t="shared" si="51"/>
        <v>N</v>
      </c>
      <c r="AF119" s="1" t="str">
        <f t="shared" si="52"/>
        <v>N</v>
      </c>
      <c r="AG119" s="1" t="str">
        <f t="shared" si="53"/>
        <v>N</v>
      </c>
      <c r="AH119" s="1" t="str">
        <f t="shared" si="54"/>
        <v>N</v>
      </c>
    </row>
    <row r="120" spans="1:34" x14ac:dyDescent="0.3">
      <c r="A120" s="1" t="s">
        <v>285</v>
      </c>
      <c r="B120" s="1" t="s">
        <v>111</v>
      </c>
      <c r="C120" s="7" t="s">
        <v>370</v>
      </c>
      <c r="D120" s="7" t="s">
        <v>371</v>
      </c>
      <c r="E120" s="7">
        <v>83.611218783990594</v>
      </c>
      <c r="F120" s="7" t="s">
        <v>372</v>
      </c>
      <c r="G120" s="7">
        <v>8.3485834547446292</v>
      </c>
      <c r="H120" s="7" t="s">
        <v>374</v>
      </c>
      <c r="I120" s="7" t="s">
        <v>375</v>
      </c>
      <c r="J120" s="7" t="s">
        <v>376</v>
      </c>
      <c r="K120" s="7">
        <v>12.941195176409</v>
      </c>
      <c r="M120" s="1" t="str">
        <f t="shared" si="37"/>
        <v>N</v>
      </c>
      <c r="N120" s="1" t="str">
        <f t="shared" si="55"/>
        <v>N</v>
      </c>
      <c r="O120" s="1" t="str">
        <f t="shared" si="56"/>
        <v>N</v>
      </c>
      <c r="P120" s="1" t="str">
        <f t="shared" si="57"/>
        <v>N</v>
      </c>
      <c r="Q120" s="1" t="str">
        <f t="shared" si="58"/>
        <v>N</v>
      </c>
      <c r="R120" s="1" t="str">
        <f t="shared" si="59"/>
        <v>N</v>
      </c>
      <c r="S120" s="1" t="str">
        <f t="shared" si="60"/>
        <v>N</v>
      </c>
      <c r="T120" s="1" t="str">
        <f t="shared" si="44"/>
        <v>N</v>
      </c>
      <c r="U120" s="1" t="str">
        <f t="shared" si="61"/>
        <v>N</v>
      </c>
      <c r="V120" s="1" t="str">
        <f t="shared" si="61"/>
        <v>N</v>
      </c>
      <c r="Y120" s="1" t="str">
        <f t="shared" si="45"/>
        <v>N</v>
      </c>
      <c r="Z120" s="1" t="str">
        <f t="shared" si="46"/>
        <v>N</v>
      </c>
      <c r="AA120" s="1" t="str">
        <f t="shared" si="47"/>
        <v>N</v>
      </c>
      <c r="AB120" s="1" t="str">
        <f t="shared" si="48"/>
        <v>N</v>
      </c>
      <c r="AC120" s="1" t="str">
        <f t="shared" si="49"/>
        <v>N</v>
      </c>
      <c r="AD120" s="1" t="str">
        <f t="shared" si="50"/>
        <v>N</v>
      </c>
      <c r="AE120" s="1" t="str">
        <f t="shared" si="51"/>
        <v>N</v>
      </c>
      <c r="AF120" s="1" t="str">
        <f t="shared" si="52"/>
        <v>N</v>
      </c>
      <c r="AG120" s="1" t="str">
        <f t="shared" si="53"/>
        <v>N</v>
      </c>
      <c r="AH120" s="1" t="str">
        <f t="shared" si="54"/>
        <v>N</v>
      </c>
    </row>
    <row r="121" spans="1:34" x14ac:dyDescent="0.3">
      <c r="A121" s="1" t="s">
        <v>286</v>
      </c>
      <c r="B121" s="1" t="s">
        <v>98</v>
      </c>
      <c r="C121" s="7" t="s">
        <v>370</v>
      </c>
      <c r="D121" s="7" t="s">
        <v>371</v>
      </c>
      <c r="E121" s="7">
        <v>69.177188459604693</v>
      </c>
      <c r="F121" s="7" t="s">
        <v>372</v>
      </c>
      <c r="G121" s="7">
        <v>33.713154932055502</v>
      </c>
      <c r="H121" s="7" t="s">
        <v>374</v>
      </c>
      <c r="I121" s="7" t="s">
        <v>375</v>
      </c>
      <c r="J121" s="7" t="s">
        <v>376</v>
      </c>
      <c r="K121" s="7" t="s">
        <v>377</v>
      </c>
      <c r="M121" s="1" t="str">
        <f t="shared" si="37"/>
        <v>N</v>
      </c>
      <c r="N121" s="1" t="str">
        <f t="shared" si="55"/>
        <v>N</v>
      </c>
      <c r="O121" s="1" t="str">
        <f t="shared" si="56"/>
        <v>N</v>
      </c>
      <c r="P121" s="1" t="str">
        <f t="shared" si="57"/>
        <v>N</v>
      </c>
      <c r="Q121" s="1" t="str">
        <f t="shared" si="58"/>
        <v>N</v>
      </c>
      <c r="R121" s="1" t="str">
        <f t="shared" si="59"/>
        <v>N</v>
      </c>
      <c r="S121" s="1" t="str">
        <f t="shared" si="60"/>
        <v>N</v>
      </c>
      <c r="T121" s="1" t="str">
        <f t="shared" si="44"/>
        <v>N</v>
      </c>
      <c r="U121" s="1" t="str">
        <f t="shared" si="61"/>
        <v>N</v>
      </c>
      <c r="V121" s="1" t="str">
        <f t="shared" si="61"/>
        <v>N</v>
      </c>
      <c r="Y121" s="1" t="str">
        <f t="shared" si="45"/>
        <v>N</v>
      </c>
      <c r="Z121" s="1" t="str">
        <f t="shared" si="46"/>
        <v>N</v>
      </c>
      <c r="AA121" s="1" t="str">
        <f t="shared" si="47"/>
        <v>N</v>
      </c>
      <c r="AB121" s="1" t="str">
        <f t="shared" si="48"/>
        <v>N</v>
      </c>
      <c r="AC121" s="1" t="str">
        <f t="shared" si="49"/>
        <v>N</v>
      </c>
      <c r="AD121" s="1" t="str">
        <f t="shared" si="50"/>
        <v>N</v>
      </c>
      <c r="AE121" s="1" t="str">
        <f t="shared" si="51"/>
        <v>N</v>
      </c>
      <c r="AF121" s="1" t="str">
        <f t="shared" si="52"/>
        <v>N</v>
      </c>
      <c r="AG121" s="1" t="str">
        <f t="shared" si="53"/>
        <v>N</v>
      </c>
      <c r="AH121" s="1" t="str">
        <f t="shared" si="54"/>
        <v>N</v>
      </c>
    </row>
    <row r="122" spans="1:34" x14ac:dyDescent="0.3">
      <c r="A122" s="1" t="s">
        <v>287</v>
      </c>
      <c r="B122" s="1" t="s">
        <v>128</v>
      </c>
      <c r="C122" s="7" t="s">
        <v>370</v>
      </c>
      <c r="D122" s="7" t="s">
        <v>371</v>
      </c>
      <c r="E122" s="7">
        <v>89.626923837527798</v>
      </c>
      <c r="F122" s="7" t="s">
        <v>372</v>
      </c>
      <c r="G122" s="7">
        <v>44.009897544336901</v>
      </c>
      <c r="H122" s="7" t="s">
        <v>374</v>
      </c>
      <c r="I122" s="7" t="s">
        <v>375</v>
      </c>
      <c r="J122" s="7">
        <v>310.04316933396098</v>
      </c>
      <c r="K122" s="7" t="s">
        <v>377</v>
      </c>
      <c r="M122" s="1" t="str">
        <f t="shared" si="37"/>
        <v>N</v>
      </c>
      <c r="N122" s="1" t="str">
        <f t="shared" si="55"/>
        <v>N</v>
      </c>
      <c r="O122" s="1" t="str">
        <f t="shared" si="56"/>
        <v>N</v>
      </c>
      <c r="P122" s="1" t="str">
        <f t="shared" si="57"/>
        <v>N</v>
      </c>
      <c r="Q122" s="1" t="str">
        <f t="shared" si="58"/>
        <v>N</v>
      </c>
      <c r="R122" s="1" t="str">
        <f t="shared" si="59"/>
        <v>N</v>
      </c>
      <c r="S122" s="1" t="str">
        <f t="shared" si="60"/>
        <v>N</v>
      </c>
      <c r="T122" s="1" t="str">
        <f t="shared" si="44"/>
        <v>N</v>
      </c>
      <c r="U122" s="1" t="str">
        <f t="shared" si="61"/>
        <v>N</v>
      </c>
      <c r="V122" s="1" t="str">
        <f t="shared" si="61"/>
        <v>N</v>
      </c>
      <c r="Y122" s="1" t="str">
        <f t="shared" si="45"/>
        <v>N</v>
      </c>
      <c r="Z122" s="1" t="str">
        <f t="shared" si="46"/>
        <v>N</v>
      </c>
      <c r="AA122" s="1" t="str">
        <f t="shared" si="47"/>
        <v>N</v>
      </c>
      <c r="AB122" s="1" t="str">
        <f t="shared" si="48"/>
        <v>N</v>
      </c>
      <c r="AC122" s="1" t="str">
        <f t="shared" si="49"/>
        <v>N</v>
      </c>
      <c r="AD122" s="1" t="str">
        <f t="shared" si="50"/>
        <v>N</v>
      </c>
      <c r="AE122" s="1" t="str">
        <f t="shared" si="51"/>
        <v>N</v>
      </c>
      <c r="AF122" s="1" t="str">
        <f t="shared" si="52"/>
        <v>N</v>
      </c>
      <c r="AG122" s="1" t="str">
        <f t="shared" si="53"/>
        <v>N</v>
      </c>
      <c r="AH122" s="1" t="str">
        <f t="shared" si="54"/>
        <v>N</v>
      </c>
    </row>
    <row r="123" spans="1:34" x14ac:dyDescent="0.3">
      <c r="A123" s="1" t="s">
        <v>288</v>
      </c>
      <c r="B123" s="1" t="s">
        <v>64</v>
      </c>
      <c r="C123" s="7" t="s">
        <v>370</v>
      </c>
      <c r="D123" s="7" t="s">
        <v>371</v>
      </c>
      <c r="E123" s="7">
        <v>33.651676521100299</v>
      </c>
      <c r="F123" s="7" t="s">
        <v>372</v>
      </c>
      <c r="G123" s="7">
        <v>19.7193364447599</v>
      </c>
      <c r="H123" s="7" t="s">
        <v>374</v>
      </c>
      <c r="I123" s="7" t="s">
        <v>375</v>
      </c>
      <c r="J123" s="7" t="s">
        <v>376</v>
      </c>
      <c r="K123" s="7" t="s">
        <v>377</v>
      </c>
      <c r="M123" s="1" t="str">
        <f t="shared" si="37"/>
        <v>N</v>
      </c>
      <c r="N123" s="1" t="str">
        <f t="shared" si="55"/>
        <v>N</v>
      </c>
      <c r="O123" s="1" t="str">
        <f t="shared" si="56"/>
        <v>N</v>
      </c>
      <c r="P123" s="1" t="str">
        <f t="shared" si="57"/>
        <v>N</v>
      </c>
      <c r="Q123" s="1" t="str">
        <f t="shared" si="58"/>
        <v>N</v>
      </c>
      <c r="R123" s="1" t="str">
        <f t="shared" si="59"/>
        <v>N</v>
      </c>
      <c r="S123" s="1" t="str">
        <f t="shared" si="60"/>
        <v>N</v>
      </c>
      <c r="T123" s="1" t="str">
        <f t="shared" si="44"/>
        <v>N</v>
      </c>
      <c r="U123" s="1" t="str">
        <f t="shared" si="61"/>
        <v>N</v>
      </c>
      <c r="V123" s="1" t="str">
        <f t="shared" si="61"/>
        <v>N</v>
      </c>
      <c r="Y123" s="1" t="str">
        <f t="shared" si="45"/>
        <v>N</v>
      </c>
      <c r="Z123" s="1" t="str">
        <f t="shared" si="46"/>
        <v>N</v>
      </c>
      <c r="AA123" s="1" t="str">
        <f t="shared" si="47"/>
        <v>N</v>
      </c>
      <c r="AB123" s="1" t="str">
        <f t="shared" si="48"/>
        <v>N</v>
      </c>
      <c r="AC123" s="1" t="str">
        <f t="shared" si="49"/>
        <v>N</v>
      </c>
      <c r="AD123" s="1" t="str">
        <f t="shared" si="50"/>
        <v>N</v>
      </c>
      <c r="AE123" s="1" t="str">
        <f t="shared" si="51"/>
        <v>N</v>
      </c>
      <c r="AF123" s="1" t="str">
        <f t="shared" si="52"/>
        <v>N</v>
      </c>
      <c r="AG123" s="1" t="str">
        <f t="shared" si="53"/>
        <v>N</v>
      </c>
      <c r="AH123" s="1" t="str">
        <f t="shared" si="54"/>
        <v>N</v>
      </c>
    </row>
    <row r="124" spans="1:34" x14ac:dyDescent="0.3">
      <c r="A124" s="1" t="s">
        <v>289</v>
      </c>
      <c r="B124" s="1" t="s">
        <v>123</v>
      </c>
      <c r="C124" s="7" t="s">
        <v>370</v>
      </c>
      <c r="D124" s="7" t="s">
        <v>371</v>
      </c>
      <c r="E124" s="7">
        <v>146.614647481628</v>
      </c>
      <c r="F124" s="7" t="s">
        <v>372</v>
      </c>
      <c r="G124" s="7">
        <v>4.7601608678587297</v>
      </c>
      <c r="H124" s="7" t="s">
        <v>374</v>
      </c>
      <c r="I124" s="7" t="s">
        <v>375</v>
      </c>
      <c r="J124" s="7" t="s">
        <v>376</v>
      </c>
      <c r="K124" s="7" t="s">
        <v>377</v>
      </c>
      <c r="M124" s="1" t="str">
        <f t="shared" si="37"/>
        <v>N</v>
      </c>
      <c r="N124" s="1" t="str">
        <f t="shared" si="55"/>
        <v>N</v>
      </c>
      <c r="O124" s="1" t="str">
        <f t="shared" si="56"/>
        <v>N</v>
      </c>
      <c r="P124" s="1" t="str">
        <f t="shared" si="57"/>
        <v>N</v>
      </c>
      <c r="Q124" s="1" t="str">
        <f t="shared" si="58"/>
        <v>N</v>
      </c>
      <c r="R124" s="1" t="str">
        <f t="shared" si="59"/>
        <v>N</v>
      </c>
      <c r="S124" s="1" t="str">
        <f t="shared" si="60"/>
        <v>N</v>
      </c>
      <c r="T124" s="1" t="str">
        <f t="shared" si="44"/>
        <v>N</v>
      </c>
      <c r="U124" s="1" t="str">
        <f t="shared" si="61"/>
        <v>N</v>
      </c>
      <c r="V124" s="1" t="str">
        <f t="shared" si="61"/>
        <v>N</v>
      </c>
      <c r="Y124" s="1" t="str">
        <f t="shared" si="45"/>
        <v>N</v>
      </c>
      <c r="Z124" s="1" t="str">
        <f t="shared" si="46"/>
        <v>N</v>
      </c>
      <c r="AA124" s="1" t="str">
        <f t="shared" si="47"/>
        <v>N</v>
      </c>
      <c r="AB124" s="1" t="str">
        <f t="shared" si="48"/>
        <v>N</v>
      </c>
      <c r="AC124" s="1" t="str">
        <f t="shared" si="49"/>
        <v>N</v>
      </c>
      <c r="AD124" s="1" t="str">
        <f t="shared" si="50"/>
        <v>N</v>
      </c>
      <c r="AE124" s="1" t="str">
        <f t="shared" si="51"/>
        <v>N</v>
      </c>
      <c r="AF124" s="1" t="str">
        <f t="shared" si="52"/>
        <v>N</v>
      </c>
      <c r="AG124" s="1" t="str">
        <f t="shared" si="53"/>
        <v>N</v>
      </c>
      <c r="AH124" s="1" t="str">
        <f t="shared" si="54"/>
        <v>N</v>
      </c>
    </row>
    <row r="125" spans="1:34" x14ac:dyDescent="0.3">
      <c r="A125" s="1" t="s">
        <v>290</v>
      </c>
      <c r="B125" s="1" t="s">
        <v>35</v>
      </c>
      <c r="C125" s="7" t="s">
        <v>370</v>
      </c>
      <c r="D125" s="7" t="s">
        <v>371</v>
      </c>
      <c r="E125" s="7">
        <v>96.891929935993204</v>
      </c>
      <c r="F125" s="7" t="s">
        <v>372</v>
      </c>
      <c r="G125" s="7">
        <v>11.7527301101393</v>
      </c>
      <c r="H125" s="7" t="s">
        <v>374</v>
      </c>
      <c r="I125" s="7" t="s">
        <v>375</v>
      </c>
      <c r="J125" s="7" t="s">
        <v>376</v>
      </c>
      <c r="K125" s="7">
        <v>11.663390682313899</v>
      </c>
      <c r="M125" s="1" t="str">
        <f t="shared" si="37"/>
        <v>N</v>
      </c>
      <c r="N125" s="1" t="str">
        <f t="shared" si="55"/>
        <v>N</v>
      </c>
      <c r="O125" s="1" t="str">
        <f t="shared" si="56"/>
        <v>N</v>
      </c>
      <c r="P125" s="1" t="str">
        <f t="shared" si="57"/>
        <v>N</v>
      </c>
      <c r="Q125" s="1" t="str">
        <f t="shared" si="58"/>
        <v>N</v>
      </c>
      <c r="R125" s="1" t="str">
        <f t="shared" si="59"/>
        <v>N</v>
      </c>
      <c r="S125" s="1" t="str">
        <f t="shared" si="60"/>
        <v>N</v>
      </c>
      <c r="T125" s="1" t="str">
        <f t="shared" si="44"/>
        <v>N</v>
      </c>
      <c r="U125" s="1" t="str">
        <f t="shared" si="61"/>
        <v>N</v>
      </c>
      <c r="V125" s="1" t="str">
        <f t="shared" si="61"/>
        <v>N</v>
      </c>
      <c r="Y125" s="1" t="str">
        <f t="shared" si="45"/>
        <v>N</v>
      </c>
      <c r="Z125" s="1" t="str">
        <f t="shared" si="46"/>
        <v>N</v>
      </c>
      <c r="AA125" s="1" t="str">
        <f t="shared" si="47"/>
        <v>N</v>
      </c>
      <c r="AB125" s="1" t="str">
        <f t="shared" si="48"/>
        <v>N</v>
      </c>
      <c r="AC125" s="1" t="str">
        <f t="shared" si="49"/>
        <v>N</v>
      </c>
      <c r="AD125" s="1" t="str">
        <f t="shared" si="50"/>
        <v>N</v>
      </c>
      <c r="AE125" s="1" t="str">
        <f t="shared" si="51"/>
        <v>N</v>
      </c>
      <c r="AF125" s="1" t="str">
        <f t="shared" si="52"/>
        <v>N</v>
      </c>
      <c r="AG125" s="1" t="str">
        <f t="shared" si="53"/>
        <v>N</v>
      </c>
      <c r="AH125" s="1" t="str">
        <f t="shared" si="54"/>
        <v>N</v>
      </c>
    </row>
    <row r="126" spans="1:34" x14ac:dyDescent="0.3">
      <c r="A126" s="1" t="s">
        <v>291</v>
      </c>
      <c r="B126" s="1" t="s">
        <v>51</v>
      </c>
      <c r="C126" s="7" t="s">
        <v>370</v>
      </c>
      <c r="D126" s="7" t="s">
        <v>371</v>
      </c>
      <c r="E126" s="7">
        <v>38.924815871316198</v>
      </c>
      <c r="F126" s="7" t="s">
        <v>372</v>
      </c>
      <c r="G126" s="7">
        <v>13.023597308736401</v>
      </c>
      <c r="H126" s="7" t="s">
        <v>374</v>
      </c>
      <c r="I126" s="7" t="s">
        <v>375</v>
      </c>
      <c r="J126" s="7" t="s">
        <v>376</v>
      </c>
      <c r="K126" s="7">
        <v>10.281347784224</v>
      </c>
      <c r="M126" s="1" t="str">
        <f t="shared" si="37"/>
        <v>N</v>
      </c>
      <c r="N126" s="1" t="str">
        <f t="shared" si="55"/>
        <v>N</v>
      </c>
      <c r="O126" s="1" t="str">
        <f t="shared" si="56"/>
        <v>N</v>
      </c>
      <c r="P126" s="1" t="str">
        <f t="shared" si="57"/>
        <v>N</v>
      </c>
      <c r="Q126" s="1" t="str">
        <f t="shared" si="58"/>
        <v>N</v>
      </c>
      <c r="R126" s="1" t="str">
        <f t="shared" si="59"/>
        <v>N</v>
      </c>
      <c r="S126" s="1" t="str">
        <f t="shared" si="60"/>
        <v>N</v>
      </c>
      <c r="T126" s="1" t="str">
        <f t="shared" si="44"/>
        <v>N</v>
      </c>
      <c r="U126" s="1" t="str">
        <f t="shared" si="61"/>
        <v>N</v>
      </c>
      <c r="V126" s="1" t="str">
        <f t="shared" si="61"/>
        <v>N</v>
      </c>
      <c r="Y126" s="1" t="str">
        <f t="shared" si="45"/>
        <v>N</v>
      </c>
      <c r="Z126" s="1" t="str">
        <f t="shared" si="46"/>
        <v>N</v>
      </c>
      <c r="AA126" s="1" t="str">
        <f t="shared" si="47"/>
        <v>N</v>
      </c>
      <c r="AB126" s="1" t="str">
        <f t="shared" si="48"/>
        <v>N</v>
      </c>
      <c r="AC126" s="1" t="str">
        <f t="shared" si="49"/>
        <v>N</v>
      </c>
      <c r="AD126" s="1" t="str">
        <f t="shared" si="50"/>
        <v>N</v>
      </c>
      <c r="AE126" s="1" t="str">
        <f t="shared" si="51"/>
        <v>N</v>
      </c>
      <c r="AF126" s="1" t="str">
        <f t="shared" si="52"/>
        <v>N</v>
      </c>
      <c r="AG126" s="1" t="str">
        <f t="shared" si="53"/>
        <v>N</v>
      </c>
      <c r="AH126" s="1" t="str">
        <f t="shared" si="54"/>
        <v>N</v>
      </c>
    </row>
    <row r="127" spans="1:34" x14ac:dyDescent="0.3">
      <c r="A127" s="1" t="s">
        <v>292</v>
      </c>
      <c r="B127" s="1" t="s">
        <v>83</v>
      </c>
      <c r="C127" s="7">
        <v>76.347663293259799</v>
      </c>
      <c r="D127" s="7" t="s">
        <v>371</v>
      </c>
      <c r="E127" s="7">
        <v>54.525735639468898</v>
      </c>
      <c r="F127" s="7" t="s">
        <v>372</v>
      </c>
      <c r="G127" s="7">
        <v>692.86222920326702</v>
      </c>
      <c r="H127" s="7" t="s">
        <v>374</v>
      </c>
      <c r="I127" s="7" t="s">
        <v>375</v>
      </c>
      <c r="J127" s="7" t="s">
        <v>376</v>
      </c>
      <c r="K127" s="7" t="s">
        <v>377</v>
      </c>
      <c r="M127" s="1" t="str">
        <f t="shared" si="37"/>
        <v>Y</v>
      </c>
      <c r="N127" s="1" t="str">
        <f t="shared" si="55"/>
        <v>N</v>
      </c>
      <c r="O127" s="1" t="str">
        <f t="shared" si="56"/>
        <v>N</v>
      </c>
      <c r="P127" s="1" t="str">
        <f t="shared" si="57"/>
        <v>N</v>
      </c>
      <c r="Q127" s="1" t="str">
        <f t="shared" si="58"/>
        <v>Y</v>
      </c>
      <c r="R127" s="1" t="str">
        <f t="shared" si="59"/>
        <v>N</v>
      </c>
      <c r="S127" s="1" t="str">
        <f t="shared" si="60"/>
        <v>N</v>
      </c>
      <c r="T127" s="1" t="str">
        <f t="shared" si="44"/>
        <v>N</v>
      </c>
      <c r="U127" s="1" t="str">
        <f t="shared" si="61"/>
        <v>N</v>
      </c>
      <c r="V127" s="1" t="str">
        <f t="shared" si="61"/>
        <v>N</v>
      </c>
      <c r="Y127" s="1" t="str">
        <f t="shared" si="45"/>
        <v>Y</v>
      </c>
      <c r="Z127" s="1" t="str">
        <f t="shared" si="46"/>
        <v>N</v>
      </c>
      <c r="AA127" s="1" t="str">
        <f t="shared" si="47"/>
        <v>N</v>
      </c>
      <c r="AB127" s="1" t="str">
        <f t="shared" si="48"/>
        <v>N</v>
      </c>
      <c r="AC127" s="1" t="str">
        <f t="shared" si="49"/>
        <v>Y</v>
      </c>
      <c r="AD127" s="1" t="str">
        <f t="shared" si="50"/>
        <v>N</v>
      </c>
      <c r="AE127" s="1" t="str">
        <f t="shared" si="51"/>
        <v>N</v>
      </c>
      <c r="AF127" s="1" t="str">
        <f t="shared" si="52"/>
        <v>N</v>
      </c>
      <c r="AG127" s="1" t="str">
        <f t="shared" si="53"/>
        <v>N</v>
      </c>
      <c r="AH127" s="1" t="str">
        <f t="shared" si="54"/>
        <v>N</v>
      </c>
    </row>
    <row r="128" spans="1:34" x14ac:dyDescent="0.3">
      <c r="A128" s="1" t="s">
        <v>293</v>
      </c>
      <c r="B128" s="1" t="s">
        <v>60</v>
      </c>
      <c r="C128" s="7" t="s">
        <v>370</v>
      </c>
      <c r="D128" s="7" t="s">
        <v>371</v>
      </c>
      <c r="E128" s="7">
        <v>67.330658015084396</v>
      </c>
      <c r="F128" s="7" t="s">
        <v>372</v>
      </c>
      <c r="G128" s="7" t="s">
        <v>373</v>
      </c>
      <c r="H128" s="7" t="s">
        <v>374</v>
      </c>
      <c r="I128" s="7" t="s">
        <v>375</v>
      </c>
      <c r="J128" s="7" t="s">
        <v>376</v>
      </c>
      <c r="K128" s="7" t="s">
        <v>377</v>
      </c>
      <c r="M128" s="1" t="str">
        <f t="shared" si="37"/>
        <v>N</v>
      </c>
      <c r="N128" s="1" t="str">
        <f t="shared" si="55"/>
        <v>N</v>
      </c>
      <c r="O128" s="1" t="str">
        <f t="shared" si="56"/>
        <v>N</v>
      </c>
      <c r="P128" s="1" t="str">
        <f t="shared" si="57"/>
        <v>N</v>
      </c>
      <c r="Q128" s="1" t="str">
        <f t="shared" si="58"/>
        <v>N</v>
      </c>
      <c r="R128" s="1" t="str">
        <f t="shared" si="59"/>
        <v>N</v>
      </c>
      <c r="S128" s="1" t="str">
        <f t="shared" si="60"/>
        <v>N</v>
      </c>
      <c r="T128" s="1" t="str">
        <f t="shared" si="44"/>
        <v>N</v>
      </c>
      <c r="U128" s="1" t="str">
        <f t="shared" si="61"/>
        <v>N</v>
      </c>
      <c r="V128" s="1" t="str">
        <f t="shared" si="61"/>
        <v>N</v>
      </c>
      <c r="Y128" s="1" t="str">
        <f t="shared" si="45"/>
        <v>N</v>
      </c>
      <c r="Z128" s="1" t="str">
        <f t="shared" si="46"/>
        <v>N</v>
      </c>
      <c r="AA128" s="1" t="str">
        <f t="shared" si="47"/>
        <v>N</v>
      </c>
      <c r="AB128" s="1" t="str">
        <f t="shared" si="48"/>
        <v>N</v>
      </c>
      <c r="AC128" s="1" t="str">
        <f t="shared" si="49"/>
        <v>N</v>
      </c>
      <c r="AD128" s="1" t="str">
        <f t="shared" si="50"/>
        <v>N</v>
      </c>
      <c r="AE128" s="1" t="str">
        <f t="shared" si="51"/>
        <v>N</v>
      </c>
      <c r="AF128" s="1" t="str">
        <f t="shared" si="52"/>
        <v>N</v>
      </c>
      <c r="AG128" s="1" t="str">
        <f t="shared" si="53"/>
        <v>N</v>
      </c>
      <c r="AH128" s="1" t="str">
        <f t="shared" si="54"/>
        <v>N</v>
      </c>
    </row>
    <row r="129" spans="1:34" x14ac:dyDescent="0.3">
      <c r="A129" s="1" t="s">
        <v>294</v>
      </c>
      <c r="B129" s="1" t="s">
        <v>37</v>
      </c>
      <c r="C129" s="7" t="s">
        <v>370</v>
      </c>
      <c r="D129" s="7" t="s">
        <v>371</v>
      </c>
      <c r="E129" s="7">
        <v>58.1007393453283</v>
      </c>
      <c r="F129" s="7" t="s">
        <v>372</v>
      </c>
      <c r="G129" s="7">
        <v>9.9362663291193307</v>
      </c>
      <c r="H129" s="7" t="s">
        <v>374</v>
      </c>
      <c r="I129" s="7" t="s">
        <v>375</v>
      </c>
      <c r="J129" s="7" t="s">
        <v>376</v>
      </c>
      <c r="K129" s="7" t="s">
        <v>377</v>
      </c>
      <c r="M129" s="1" t="str">
        <f t="shared" si="37"/>
        <v>N</v>
      </c>
      <c r="N129" s="1" t="str">
        <f t="shared" si="55"/>
        <v>N</v>
      </c>
      <c r="O129" s="1" t="str">
        <f t="shared" si="56"/>
        <v>N</v>
      </c>
      <c r="P129" s="1" t="str">
        <f t="shared" si="57"/>
        <v>N</v>
      </c>
      <c r="Q129" s="1" t="str">
        <f t="shared" si="58"/>
        <v>N</v>
      </c>
      <c r="R129" s="1" t="str">
        <f t="shared" si="59"/>
        <v>N</v>
      </c>
      <c r="S129" s="1" t="str">
        <f t="shared" si="60"/>
        <v>N</v>
      </c>
      <c r="T129" s="1" t="str">
        <f t="shared" si="44"/>
        <v>N</v>
      </c>
      <c r="U129" s="1" t="str">
        <f t="shared" si="61"/>
        <v>N</v>
      </c>
      <c r="V129" s="1" t="str">
        <f t="shared" si="61"/>
        <v>N</v>
      </c>
      <c r="Y129" s="1" t="str">
        <f t="shared" si="45"/>
        <v>N</v>
      </c>
      <c r="Z129" s="1" t="str">
        <f t="shared" si="46"/>
        <v>N</v>
      </c>
      <c r="AA129" s="1" t="str">
        <f t="shared" si="47"/>
        <v>N</v>
      </c>
      <c r="AB129" s="1" t="str">
        <f t="shared" si="48"/>
        <v>N</v>
      </c>
      <c r="AC129" s="1" t="str">
        <f t="shared" si="49"/>
        <v>N</v>
      </c>
      <c r="AD129" s="1" t="str">
        <f t="shared" si="50"/>
        <v>N</v>
      </c>
      <c r="AE129" s="1" t="str">
        <f t="shared" si="51"/>
        <v>N</v>
      </c>
      <c r="AF129" s="1" t="str">
        <f t="shared" si="52"/>
        <v>N</v>
      </c>
      <c r="AG129" s="1" t="str">
        <f t="shared" si="53"/>
        <v>N</v>
      </c>
      <c r="AH129" s="1" t="str">
        <f t="shared" si="54"/>
        <v>N</v>
      </c>
    </row>
    <row r="130" spans="1:34" x14ac:dyDescent="0.3">
      <c r="A130" s="1" t="s">
        <v>295</v>
      </c>
      <c r="B130" s="1" t="s">
        <v>67</v>
      </c>
      <c r="C130" s="7" t="s">
        <v>370</v>
      </c>
      <c r="D130" s="7" t="s">
        <v>371</v>
      </c>
      <c r="E130" s="7">
        <v>37.368890870813402</v>
      </c>
      <c r="F130" s="7" t="s">
        <v>372</v>
      </c>
      <c r="G130" s="7">
        <v>4.6925045684948801</v>
      </c>
      <c r="H130" s="7" t="s">
        <v>374</v>
      </c>
      <c r="I130" s="7" t="s">
        <v>375</v>
      </c>
      <c r="J130" s="7" t="s">
        <v>376</v>
      </c>
      <c r="K130" s="7" t="s">
        <v>377</v>
      </c>
      <c r="M130" s="1" t="str">
        <f t="shared" si="37"/>
        <v>N</v>
      </c>
      <c r="N130" s="1" t="str">
        <f t="shared" si="55"/>
        <v>N</v>
      </c>
      <c r="O130" s="1" t="str">
        <f t="shared" si="56"/>
        <v>N</v>
      </c>
      <c r="P130" s="1" t="str">
        <f t="shared" si="57"/>
        <v>N</v>
      </c>
      <c r="Q130" s="1" t="str">
        <f t="shared" si="58"/>
        <v>N</v>
      </c>
      <c r="R130" s="1" t="str">
        <f t="shared" si="59"/>
        <v>N</v>
      </c>
      <c r="S130" s="1" t="str">
        <f t="shared" si="60"/>
        <v>N</v>
      </c>
      <c r="T130" s="1" t="str">
        <f t="shared" si="44"/>
        <v>N</v>
      </c>
      <c r="U130" s="1" t="str">
        <f t="shared" si="61"/>
        <v>N</v>
      </c>
      <c r="V130" s="1" t="str">
        <f t="shared" si="61"/>
        <v>N</v>
      </c>
      <c r="Y130" s="1" t="str">
        <f t="shared" si="45"/>
        <v>N</v>
      </c>
      <c r="Z130" s="1" t="str">
        <f t="shared" si="46"/>
        <v>N</v>
      </c>
      <c r="AA130" s="1" t="str">
        <f t="shared" si="47"/>
        <v>N</v>
      </c>
      <c r="AB130" s="1" t="str">
        <f t="shared" si="48"/>
        <v>N</v>
      </c>
      <c r="AC130" s="1" t="str">
        <f t="shared" si="49"/>
        <v>N</v>
      </c>
      <c r="AD130" s="1" t="str">
        <f t="shared" si="50"/>
        <v>N</v>
      </c>
      <c r="AE130" s="1" t="str">
        <f t="shared" si="51"/>
        <v>N</v>
      </c>
      <c r="AF130" s="1" t="str">
        <f t="shared" si="52"/>
        <v>N</v>
      </c>
      <c r="AG130" s="1" t="str">
        <f t="shared" si="53"/>
        <v>N</v>
      </c>
      <c r="AH130" s="1" t="str">
        <f t="shared" si="54"/>
        <v>N</v>
      </c>
    </row>
    <row r="131" spans="1:34" x14ac:dyDescent="0.3">
      <c r="A131" s="1" t="s">
        <v>296</v>
      </c>
      <c r="B131" s="1" t="s">
        <v>27</v>
      </c>
      <c r="C131" s="7" t="s">
        <v>370</v>
      </c>
      <c r="D131" s="7" t="s">
        <v>371</v>
      </c>
      <c r="E131" s="7">
        <v>38.206253819351097</v>
      </c>
      <c r="F131" s="7" t="s">
        <v>372</v>
      </c>
      <c r="G131" s="7">
        <v>38.937657613374597</v>
      </c>
      <c r="H131" s="7" t="s">
        <v>374</v>
      </c>
      <c r="I131" s="7" t="s">
        <v>375</v>
      </c>
      <c r="J131" s="7" t="s">
        <v>376</v>
      </c>
      <c r="K131" s="7">
        <v>5.4165914292654103</v>
      </c>
      <c r="M131" s="1" t="str">
        <f t="shared" si="37"/>
        <v>N</v>
      </c>
      <c r="N131" s="1" t="str">
        <f t="shared" si="55"/>
        <v>N</v>
      </c>
      <c r="O131" s="1" t="str">
        <f t="shared" si="56"/>
        <v>N</v>
      </c>
      <c r="P131" s="1" t="str">
        <f t="shared" si="57"/>
        <v>N</v>
      </c>
      <c r="Q131" s="1" t="str">
        <f t="shared" si="58"/>
        <v>N</v>
      </c>
      <c r="R131" s="1" t="str">
        <f t="shared" si="59"/>
        <v>N</v>
      </c>
      <c r="S131" s="1" t="str">
        <f t="shared" si="60"/>
        <v>N</v>
      </c>
      <c r="T131" s="1" t="str">
        <f t="shared" si="44"/>
        <v>N</v>
      </c>
      <c r="U131" s="1" t="str">
        <f t="shared" si="61"/>
        <v>N</v>
      </c>
      <c r="V131" s="1" t="str">
        <f t="shared" si="61"/>
        <v>N</v>
      </c>
      <c r="Y131" s="1" t="str">
        <f t="shared" si="45"/>
        <v>N</v>
      </c>
      <c r="Z131" s="1" t="str">
        <f t="shared" si="46"/>
        <v>N</v>
      </c>
      <c r="AA131" s="1" t="str">
        <f t="shared" si="47"/>
        <v>N</v>
      </c>
      <c r="AB131" s="1" t="str">
        <f t="shared" si="48"/>
        <v>N</v>
      </c>
      <c r="AC131" s="1" t="str">
        <f t="shared" si="49"/>
        <v>N</v>
      </c>
      <c r="AD131" s="1" t="str">
        <f t="shared" si="50"/>
        <v>N</v>
      </c>
      <c r="AE131" s="1" t="str">
        <f t="shared" si="51"/>
        <v>N</v>
      </c>
      <c r="AF131" s="1" t="str">
        <f t="shared" si="52"/>
        <v>N</v>
      </c>
      <c r="AG131" s="1" t="str">
        <f t="shared" si="53"/>
        <v>N</v>
      </c>
      <c r="AH131" s="1" t="str">
        <f t="shared" si="54"/>
        <v>N</v>
      </c>
    </row>
    <row r="132" spans="1:34" x14ac:dyDescent="0.3">
      <c r="A132" s="1" t="s">
        <v>297</v>
      </c>
      <c r="B132" s="1" t="s">
        <v>63</v>
      </c>
      <c r="C132" s="7" t="s">
        <v>370</v>
      </c>
      <c r="D132" s="7" t="s">
        <v>371</v>
      </c>
      <c r="E132" s="7">
        <v>88.264324605451804</v>
      </c>
      <c r="F132" s="7" t="s">
        <v>372</v>
      </c>
      <c r="G132" s="7" t="s">
        <v>373</v>
      </c>
      <c r="H132" s="7" t="s">
        <v>374</v>
      </c>
      <c r="I132" s="7" t="s">
        <v>375</v>
      </c>
      <c r="J132" s="7" t="s">
        <v>376</v>
      </c>
      <c r="K132" s="7">
        <v>9.3062246395059596</v>
      </c>
      <c r="M132" s="1" t="str">
        <f t="shared" si="37"/>
        <v>N</v>
      </c>
      <c r="N132" s="1" t="str">
        <f t="shared" si="55"/>
        <v>N</v>
      </c>
      <c r="O132" s="1" t="str">
        <f t="shared" si="56"/>
        <v>N</v>
      </c>
      <c r="P132" s="1" t="str">
        <f t="shared" si="57"/>
        <v>N</v>
      </c>
      <c r="Q132" s="1" t="str">
        <f t="shared" si="58"/>
        <v>N</v>
      </c>
      <c r="R132" s="1" t="str">
        <f t="shared" si="59"/>
        <v>N</v>
      </c>
      <c r="S132" s="1" t="str">
        <f t="shared" si="60"/>
        <v>N</v>
      </c>
      <c r="T132" s="1" t="str">
        <f t="shared" si="44"/>
        <v>N</v>
      </c>
      <c r="U132" s="1" t="str">
        <f t="shared" si="61"/>
        <v>N</v>
      </c>
      <c r="V132" s="1" t="str">
        <f t="shared" si="61"/>
        <v>N</v>
      </c>
      <c r="Y132" s="1" t="str">
        <f t="shared" si="45"/>
        <v>N</v>
      </c>
      <c r="Z132" s="1" t="str">
        <f t="shared" si="46"/>
        <v>N</v>
      </c>
      <c r="AA132" s="1" t="str">
        <f t="shared" si="47"/>
        <v>N</v>
      </c>
      <c r="AB132" s="1" t="str">
        <f t="shared" si="48"/>
        <v>N</v>
      </c>
      <c r="AC132" s="1" t="str">
        <f t="shared" si="49"/>
        <v>N</v>
      </c>
      <c r="AD132" s="1" t="str">
        <f t="shared" si="50"/>
        <v>N</v>
      </c>
      <c r="AE132" s="1" t="str">
        <f t="shared" si="51"/>
        <v>N</v>
      </c>
      <c r="AF132" s="1" t="str">
        <f t="shared" si="52"/>
        <v>N</v>
      </c>
      <c r="AG132" s="1" t="str">
        <f t="shared" si="53"/>
        <v>N</v>
      </c>
      <c r="AH132" s="1" t="str">
        <f t="shared" si="54"/>
        <v>N</v>
      </c>
    </row>
    <row r="133" spans="1:34" x14ac:dyDescent="0.3">
      <c r="A133" s="1" t="s">
        <v>298</v>
      </c>
      <c r="B133" s="1" t="s">
        <v>137</v>
      </c>
      <c r="C133" s="7" t="s">
        <v>370</v>
      </c>
      <c r="D133" s="7" t="s">
        <v>371</v>
      </c>
      <c r="E133" s="7">
        <v>57.686669834150997</v>
      </c>
      <c r="F133" s="7" t="s">
        <v>372</v>
      </c>
      <c r="G133" s="7">
        <v>7.1401405155566904</v>
      </c>
      <c r="H133" s="7" t="s">
        <v>374</v>
      </c>
      <c r="I133" s="7" t="s">
        <v>375</v>
      </c>
      <c r="J133" s="7" t="s">
        <v>376</v>
      </c>
      <c r="K133" s="7" t="s">
        <v>377</v>
      </c>
      <c r="M133" s="1" t="str">
        <f t="shared" si="37"/>
        <v>N</v>
      </c>
      <c r="N133" s="1" t="str">
        <f t="shared" si="55"/>
        <v>N</v>
      </c>
      <c r="O133" s="1" t="str">
        <f t="shared" si="56"/>
        <v>N</v>
      </c>
      <c r="P133" s="1" t="str">
        <f t="shared" si="57"/>
        <v>N</v>
      </c>
      <c r="Q133" s="1" t="str">
        <f t="shared" si="58"/>
        <v>N</v>
      </c>
      <c r="R133" s="1" t="str">
        <f t="shared" si="59"/>
        <v>N</v>
      </c>
      <c r="S133" s="1" t="str">
        <f t="shared" si="60"/>
        <v>N</v>
      </c>
      <c r="T133" s="1" t="str">
        <f t="shared" si="44"/>
        <v>N</v>
      </c>
      <c r="U133" s="1" t="str">
        <f t="shared" si="61"/>
        <v>N</v>
      </c>
      <c r="V133" s="1" t="str">
        <f t="shared" si="61"/>
        <v>N</v>
      </c>
      <c r="Y133" s="1" t="str">
        <f t="shared" si="45"/>
        <v>N</v>
      </c>
      <c r="Z133" s="1" t="str">
        <f t="shared" si="46"/>
        <v>N</v>
      </c>
      <c r="AA133" s="1" t="str">
        <f t="shared" si="47"/>
        <v>N</v>
      </c>
      <c r="AB133" s="1" t="str">
        <f t="shared" si="48"/>
        <v>N</v>
      </c>
      <c r="AC133" s="1" t="str">
        <f t="shared" si="49"/>
        <v>N</v>
      </c>
      <c r="AD133" s="1" t="str">
        <f t="shared" si="50"/>
        <v>N</v>
      </c>
      <c r="AE133" s="1" t="str">
        <f t="shared" si="51"/>
        <v>N</v>
      </c>
      <c r="AF133" s="1" t="str">
        <f t="shared" si="52"/>
        <v>N</v>
      </c>
      <c r="AG133" s="1" t="str">
        <f t="shared" si="53"/>
        <v>N</v>
      </c>
      <c r="AH133" s="1" t="str">
        <f t="shared" si="54"/>
        <v>N</v>
      </c>
    </row>
    <row r="134" spans="1:34" x14ac:dyDescent="0.3">
      <c r="A134" s="1" t="s">
        <v>299</v>
      </c>
      <c r="B134" s="1" t="s">
        <v>139</v>
      </c>
      <c r="C134" s="7">
        <v>13.442929664262399</v>
      </c>
      <c r="D134" s="7" t="s">
        <v>371</v>
      </c>
      <c r="E134" s="7">
        <v>610.28139364398601</v>
      </c>
      <c r="F134" s="7" t="s">
        <v>372</v>
      </c>
      <c r="G134" s="7">
        <v>21.645148808451999</v>
      </c>
      <c r="H134" s="7" t="s">
        <v>374</v>
      </c>
      <c r="I134" s="7" t="s">
        <v>375</v>
      </c>
      <c r="J134" s="7" t="s">
        <v>376</v>
      </c>
      <c r="K134" s="7">
        <v>152.541678548493</v>
      </c>
      <c r="M134" s="1" t="str">
        <f t="shared" ref="M134:M181" si="62">IF(AND(C134&gt;M$4,ISNUMBER(C134)),"Y","N")</f>
        <v>Y</v>
      </c>
      <c r="N134" s="1" t="str">
        <f t="shared" si="55"/>
        <v>N</v>
      </c>
      <c r="O134" s="1" t="str">
        <f t="shared" si="56"/>
        <v>N</v>
      </c>
      <c r="P134" s="1" t="str">
        <f t="shared" si="57"/>
        <v>N</v>
      </c>
      <c r="Q134" s="1" t="str">
        <f t="shared" si="58"/>
        <v>N</v>
      </c>
      <c r="R134" s="1" t="str">
        <f t="shared" si="59"/>
        <v>N</v>
      </c>
      <c r="S134" s="1" t="str">
        <f t="shared" si="60"/>
        <v>N</v>
      </c>
      <c r="T134" s="1" t="str">
        <f t="shared" ref="T134:T181" si="63">IF(AND(J134&lt;T$4,ISNUMBER(J134)),"Y","N")</f>
        <v>N</v>
      </c>
      <c r="U134" s="1" t="str">
        <f t="shared" si="61"/>
        <v>N</v>
      </c>
      <c r="V134" s="1" t="str">
        <f t="shared" si="61"/>
        <v>N</v>
      </c>
      <c r="Y134" s="1" t="str">
        <f t="shared" ref="Y134:Y181" si="64">IF(AND(C134&gt;Y$4,ISNUMBER(C134)),"Y","N")</f>
        <v>Y</v>
      </c>
      <c r="Z134" s="1" t="str">
        <f t="shared" ref="Z134:Z181" si="65">IF(AND(D134&gt;Z$4,ISNUMBER(D134)),"Y","N")</f>
        <v>N</v>
      </c>
      <c r="AA134" s="1" t="str">
        <f t="shared" ref="AA134:AA181" si="66">IF(AND(E134&gt;AA$4,ISNUMBER(E134)),"Y","N")</f>
        <v>N</v>
      </c>
      <c r="AB134" s="1" t="str">
        <f t="shared" ref="AB134:AB181" si="67">IF(AND(F134&gt;AB$4,ISNUMBER(F134)),"Y","N")</f>
        <v>N</v>
      </c>
      <c r="AC134" s="1" t="str">
        <f t="shared" ref="AC134:AC181" si="68">IF(AND(G134&gt;AC$4,ISNUMBER(G134)),"Y","N")</f>
        <v>N</v>
      </c>
      <c r="AD134" s="1" t="str">
        <f t="shared" ref="AD134:AD181" si="69">IF(AND(H134&gt;AD$4,ISNUMBER(H134)),"Y","N")</f>
        <v>N</v>
      </c>
      <c r="AE134" s="1" t="str">
        <f t="shared" ref="AE134:AE181" si="70">IF(AND(I134&gt;AE$4,ISNUMBER(I134)),"Y","N")</f>
        <v>N</v>
      </c>
      <c r="AF134" s="1" t="str">
        <f t="shared" ref="AF134:AF181" si="71">IF(AND(J134&gt;AF$4,ISNUMBER(J134)),"Y","N")</f>
        <v>N</v>
      </c>
      <c r="AG134" s="1" t="str">
        <f t="shared" ref="AG134:AG181" si="72">IF(AND(K134&gt;AG$4,ISNUMBER(K134)),"Y","N")</f>
        <v>N</v>
      </c>
      <c r="AH134" s="1" t="str">
        <f t="shared" ref="AH134:AH181" si="73">IF(AND(L134&gt;AH$4,ISNUMBER(L134)),"Y","N")</f>
        <v>N</v>
      </c>
    </row>
    <row r="135" spans="1:34" x14ac:dyDescent="0.3">
      <c r="A135" s="1" t="s">
        <v>300</v>
      </c>
      <c r="B135" s="1" t="s">
        <v>144</v>
      </c>
      <c r="C135" s="7" t="s">
        <v>370</v>
      </c>
      <c r="D135" s="7" t="s">
        <v>371</v>
      </c>
      <c r="E135" s="7">
        <v>32.264754514240501</v>
      </c>
      <c r="F135" s="7" t="s">
        <v>372</v>
      </c>
      <c r="G135" s="7">
        <v>54.067990621991797</v>
      </c>
      <c r="H135" s="7" t="s">
        <v>374</v>
      </c>
      <c r="I135" s="7" t="s">
        <v>375</v>
      </c>
      <c r="J135" s="7">
        <v>59.383242806096597</v>
      </c>
      <c r="K135" s="7">
        <v>8.2023086752754892</v>
      </c>
      <c r="M135" s="1" t="str">
        <f t="shared" si="62"/>
        <v>N</v>
      </c>
      <c r="N135" s="1" t="str">
        <f t="shared" si="55"/>
        <v>N</v>
      </c>
      <c r="O135" s="1" t="str">
        <f t="shared" si="56"/>
        <v>N</v>
      </c>
      <c r="P135" s="1" t="str">
        <f t="shared" si="57"/>
        <v>N</v>
      </c>
      <c r="Q135" s="1" t="str">
        <f t="shared" si="58"/>
        <v>Y</v>
      </c>
      <c r="R135" s="1" t="str">
        <f t="shared" si="59"/>
        <v>N</v>
      </c>
      <c r="S135" s="1" t="str">
        <f t="shared" si="60"/>
        <v>N</v>
      </c>
      <c r="T135" s="1" t="str">
        <f t="shared" si="63"/>
        <v>N</v>
      </c>
      <c r="U135" s="1" t="str">
        <f t="shared" si="61"/>
        <v>N</v>
      </c>
      <c r="V135" s="1" t="str">
        <f t="shared" si="61"/>
        <v>N</v>
      </c>
      <c r="Y135" s="1" t="str">
        <f t="shared" si="64"/>
        <v>N</v>
      </c>
      <c r="Z135" s="1" t="str">
        <f t="shared" si="65"/>
        <v>N</v>
      </c>
      <c r="AA135" s="1" t="str">
        <f t="shared" si="66"/>
        <v>N</v>
      </c>
      <c r="AB135" s="1" t="str">
        <f t="shared" si="67"/>
        <v>N</v>
      </c>
      <c r="AC135" s="1" t="str">
        <f t="shared" si="68"/>
        <v>N</v>
      </c>
      <c r="AD135" s="1" t="str">
        <f t="shared" si="69"/>
        <v>N</v>
      </c>
      <c r="AE135" s="1" t="str">
        <f t="shared" si="70"/>
        <v>N</v>
      </c>
      <c r="AF135" s="1" t="str">
        <f t="shared" si="71"/>
        <v>N</v>
      </c>
      <c r="AG135" s="1" t="str">
        <f t="shared" si="72"/>
        <v>N</v>
      </c>
      <c r="AH135" s="1" t="str">
        <f t="shared" si="73"/>
        <v>N</v>
      </c>
    </row>
    <row r="136" spans="1:34" x14ac:dyDescent="0.3">
      <c r="A136" s="1" t="s">
        <v>301</v>
      </c>
      <c r="B136" s="1" t="s">
        <v>142</v>
      </c>
      <c r="C136" s="7" t="s">
        <v>370</v>
      </c>
      <c r="D136" s="7" t="s">
        <v>371</v>
      </c>
      <c r="E136" s="7">
        <v>5.3709335959334599</v>
      </c>
      <c r="F136" s="7" t="s">
        <v>372</v>
      </c>
      <c r="G136" s="7" t="s">
        <v>373</v>
      </c>
      <c r="H136" s="7" t="s">
        <v>374</v>
      </c>
      <c r="I136" s="7" t="s">
        <v>375</v>
      </c>
      <c r="J136" s="7" t="s">
        <v>376</v>
      </c>
      <c r="K136" s="7" t="s">
        <v>377</v>
      </c>
      <c r="M136" s="1" t="str">
        <f t="shared" si="62"/>
        <v>N</v>
      </c>
      <c r="N136" s="1" t="str">
        <f t="shared" si="55"/>
        <v>N</v>
      </c>
      <c r="O136" s="1" t="str">
        <f t="shared" si="56"/>
        <v>N</v>
      </c>
      <c r="P136" s="1" t="str">
        <f t="shared" si="57"/>
        <v>N</v>
      </c>
      <c r="Q136" s="1" t="str">
        <f t="shared" si="58"/>
        <v>N</v>
      </c>
      <c r="R136" s="1" t="str">
        <f t="shared" si="59"/>
        <v>N</v>
      </c>
      <c r="S136" s="1" t="str">
        <f t="shared" si="60"/>
        <v>N</v>
      </c>
      <c r="T136" s="1" t="str">
        <f t="shared" si="63"/>
        <v>N</v>
      </c>
      <c r="U136" s="1" t="str">
        <f t="shared" si="61"/>
        <v>N</v>
      </c>
      <c r="V136" s="1" t="str">
        <f t="shared" si="61"/>
        <v>N</v>
      </c>
      <c r="Y136" s="1" t="str">
        <f t="shared" si="64"/>
        <v>N</v>
      </c>
      <c r="Z136" s="1" t="str">
        <f t="shared" si="65"/>
        <v>N</v>
      </c>
      <c r="AA136" s="1" t="str">
        <f t="shared" si="66"/>
        <v>N</v>
      </c>
      <c r="AB136" s="1" t="str">
        <f t="shared" si="67"/>
        <v>N</v>
      </c>
      <c r="AC136" s="1" t="str">
        <f t="shared" si="68"/>
        <v>N</v>
      </c>
      <c r="AD136" s="1" t="str">
        <f t="shared" si="69"/>
        <v>N</v>
      </c>
      <c r="AE136" s="1" t="str">
        <f t="shared" si="70"/>
        <v>N</v>
      </c>
      <c r="AF136" s="1" t="str">
        <f t="shared" si="71"/>
        <v>N</v>
      </c>
      <c r="AG136" s="1" t="str">
        <f t="shared" si="72"/>
        <v>N</v>
      </c>
      <c r="AH136" s="1" t="str">
        <f t="shared" si="73"/>
        <v>N</v>
      </c>
    </row>
    <row r="137" spans="1:34" x14ac:dyDescent="0.3">
      <c r="A137" s="1" t="s">
        <v>302</v>
      </c>
      <c r="B137" s="1" t="s">
        <v>134</v>
      </c>
      <c r="C137" s="7" t="s">
        <v>370</v>
      </c>
      <c r="D137" s="7" t="s">
        <v>371</v>
      </c>
      <c r="E137" s="7">
        <v>51.673501346641402</v>
      </c>
      <c r="F137" s="7" t="s">
        <v>372</v>
      </c>
      <c r="G137" s="7">
        <v>11.172616637731201</v>
      </c>
      <c r="H137" s="7" t="s">
        <v>374</v>
      </c>
      <c r="I137" s="7" t="s">
        <v>375</v>
      </c>
      <c r="J137" s="7" t="s">
        <v>376</v>
      </c>
      <c r="K137" s="7" t="s">
        <v>377</v>
      </c>
      <c r="M137" s="1" t="str">
        <f t="shared" si="62"/>
        <v>N</v>
      </c>
      <c r="N137" s="1" t="str">
        <f t="shared" si="55"/>
        <v>N</v>
      </c>
      <c r="O137" s="1" t="str">
        <f t="shared" si="56"/>
        <v>N</v>
      </c>
      <c r="P137" s="1" t="str">
        <f t="shared" si="57"/>
        <v>N</v>
      </c>
      <c r="Q137" s="1" t="str">
        <f t="shared" si="58"/>
        <v>N</v>
      </c>
      <c r="R137" s="1" t="str">
        <f t="shared" si="59"/>
        <v>N</v>
      </c>
      <c r="S137" s="1" t="str">
        <f t="shared" si="60"/>
        <v>N</v>
      </c>
      <c r="T137" s="1" t="str">
        <f t="shared" si="63"/>
        <v>N</v>
      </c>
      <c r="U137" s="1" t="str">
        <f t="shared" si="61"/>
        <v>N</v>
      </c>
      <c r="V137" s="1" t="str">
        <f t="shared" si="61"/>
        <v>N</v>
      </c>
      <c r="Y137" s="1" t="str">
        <f t="shared" si="64"/>
        <v>N</v>
      </c>
      <c r="Z137" s="1" t="str">
        <f t="shared" si="65"/>
        <v>N</v>
      </c>
      <c r="AA137" s="1" t="str">
        <f t="shared" si="66"/>
        <v>N</v>
      </c>
      <c r="AB137" s="1" t="str">
        <f t="shared" si="67"/>
        <v>N</v>
      </c>
      <c r="AC137" s="1" t="str">
        <f t="shared" si="68"/>
        <v>N</v>
      </c>
      <c r="AD137" s="1" t="str">
        <f t="shared" si="69"/>
        <v>N</v>
      </c>
      <c r="AE137" s="1" t="str">
        <f t="shared" si="70"/>
        <v>N</v>
      </c>
      <c r="AF137" s="1" t="str">
        <f t="shared" si="71"/>
        <v>N</v>
      </c>
      <c r="AG137" s="1" t="str">
        <f t="shared" si="72"/>
        <v>N</v>
      </c>
      <c r="AH137" s="1" t="str">
        <f t="shared" si="73"/>
        <v>N</v>
      </c>
    </row>
    <row r="138" spans="1:34" x14ac:dyDescent="0.3">
      <c r="A138" s="1" t="s">
        <v>303</v>
      </c>
      <c r="B138" s="1" t="s">
        <v>143</v>
      </c>
      <c r="C138" s="7" t="s">
        <v>370</v>
      </c>
      <c r="D138" s="7" t="s">
        <v>371</v>
      </c>
      <c r="E138" s="7">
        <v>38.509328603646601</v>
      </c>
      <c r="F138" s="7" t="s">
        <v>372</v>
      </c>
      <c r="G138" s="7">
        <v>3.8299645787663001</v>
      </c>
      <c r="H138" s="7" t="s">
        <v>374</v>
      </c>
      <c r="I138" s="7" t="s">
        <v>375</v>
      </c>
      <c r="J138" s="7" t="s">
        <v>376</v>
      </c>
      <c r="K138" s="7" t="s">
        <v>377</v>
      </c>
      <c r="M138" s="1" t="str">
        <f t="shared" si="62"/>
        <v>N</v>
      </c>
      <c r="N138" s="1" t="str">
        <f t="shared" si="55"/>
        <v>N</v>
      </c>
      <c r="O138" s="1" t="str">
        <f t="shared" si="56"/>
        <v>N</v>
      </c>
      <c r="P138" s="1" t="str">
        <f t="shared" si="57"/>
        <v>N</v>
      </c>
      <c r="Q138" s="1" t="str">
        <f t="shared" si="58"/>
        <v>N</v>
      </c>
      <c r="R138" s="1" t="str">
        <f t="shared" si="59"/>
        <v>N</v>
      </c>
      <c r="S138" s="1" t="str">
        <f t="shared" si="60"/>
        <v>N</v>
      </c>
      <c r="T138" s="1" t="str">
        <f t="shared" si="63"/>
        <v>N</v>
      </c>
      <c r="U138" s="1" t="str">
        <f t="shared" si="61"/>
        <v>N</v>
      </c>
      <c r="V138" s="1" t="str">
        <f t="shared" si="61"/>
        <v>N</v>
      </c>
      <c r="Y138" s="1" t="str">
        <f t="shared" si="64"/>
        <v>N</v>
      </c>
      <c r="Z138" s="1" t="str">
        <f t="shared" si="65"/>
        <v>N</v>
      </c>
      <c r="AA138" s="1" t="str">
        <f t="shared" si="66"/>
        <v>N</v>
      </c>
      <c r="AB138" s="1" t="str">
        <f t="shared" si="67"/>
        <v>N</v>
      </c>
      <c r="AC138" s="1" t="str">
        <f t="shared" si="68"/>
        <v>N</v>
      </c>
      <c r="AD138" s="1" t="str">
        <f t="shared" si="69"/>
        <v>N</v>
      </c>
      <c r="AE138" s="1" t="str">
        <f t="shared" si="70"/>
        <v>N</v>
      </c>
      <c r="AF138" s="1" t="str">
        <f t="shared" si="71"/>
        <v>N</v>
      </c>
      <c r="AG138" s="1" t="str">
        <f t="shared" si="72"/>
        <v>N</v>
      </c>
      <c r="AH138" s="1" t="str">
        <f t="shared" si="73"/>
        <v>N</v>
      </c>
    </row>
    <row r="139" spans="1:34" x14ac:dyDescent="0.3">
      <c r="A139" s="1" t="s">
        <v>304</v>
      </c>
      <c r="B139" s="1" t="s">
        <v>135</v>
      </c>
      <c r="C139" s="7" t="s">
        <v>370</v>
      </c>
      <c r="D139" s="7" t="s">
        <v>371</v>
      </c>
      <c r="E139" s="7">
        <v>92.822468332737998</v>
      </c>
      <c r="F139" s="7" t="s">
        <v>372</v>
      </c>
      <c r="G139" s="7">
        <v>5.6416123368857498</v>
      </c>
      <c r="H139" s="7" t="s">
        <v>374</v>
      </c>
      <c r="I139" s="7" t="s">
        <v>375</v>
      </c>
      <c r="J139" s="7" t="s">
        <v>376</v>
      </c>
      <c r="K139" s="7">
        <v>23.671678329533801</v>
      </c>
      <c r="M139" s="1" t="str">
        <f t="shared" si="62"/>
        <v>N</v>
      </c>
      <c r="N139" s="1" t="str">
        <f t="shared" si="55"/>
        <v>N</v>
      </c>
      <c r="O139" s="1" t="str">
        <f t="shared" si="56"/>
        <v>N</v>
      </c>
      <c r="P139" s="1" t="str">
        <f t="shared" si="57"/>
        <v>N</v>
      </c>
      <c r="Q139" s="1" t="str">
        <f t="shared" si="58"/>
        <v>N</v>
      </c>
      <c r="R139" s="1" t="str">
        <f t="shared" si="59"/>
        <v>N</v>
      </c>
      <c r="S139" s="1" t="str">
        <f t="shared" si="60"/>
        <v>N</v>
      </c>
      <c r="T139" s="1" t="str">
        <f t="shared" si="63"/>
        <v>N</v>
      </c>
      <c r="U139" s="1" t="str">
        <f t="shared" si="61"/>
        <v>N</v>
      </c>
      <c r="V139" s="1" t="str">
        <f t="shared" si="61"/>
        <v>N</v>
      </c>
      <c r="Y139" s="1" t="str">
        <f t="shared" si="64"/>
        <v>N</v>
      </c>
      <c r="Z139" s="1" t="str">
        <f t="shared" si="65"/>
        <v>N</v>
      </c>
      <c r="AA139" s="1" t="str">
        <f t="shared" si="66"/>
        <v>N</v>
      </c>
      <c r="AB139" s="1" t="str">
        <f t="shared" si="67"/>
        <v>N</v>
      </c>
      <c r="AC139" s="1" t="str">
        <f t="shared" si="68"/>
        <v>N</v>
      </c>
      <c r="AD139" s="1" t="str">
        <f t="shared" si="69"/>
        <v>N</v>
      </c>
      <c r="AE139" s="1" t="str">
        <f t="shared" si="70"/>
        <v>N</v>
      </c>
      <c r="AF139" s="1" t="str">
        <f t="shared" si="71"/>
        <v>N</v>
      </c>
      <c r="AG139" s="1" t="str">
        <f t="shared" si="72"/>
        <v>N</v>
      </c>
      <c r="AH139" s="1" t="str">
        <f t="shared" si="73"/>
        <v>N</v>
      </c>
    </row>
    <row r="140" spans="1:34" x14ac:dyDescent="0.3">
      <c r="A140" s="1" t="s">
        <v>305</v>
      </c>
      <c r="B140" s="1" t="s">
        <v>138</v>
      </c>
      <c r="C140" s="7" t="s">
        <v>370</v>
      </c>
      <c r="D140" s="7" t="s">
        <v>371</v>
      </c>
      <c r="E140" s="7">
        <v>82.258756856028796</v>
      </c>
      <c r="F140" s="7" t="s">
        <v>372</v>
      </c>
      <c r="G140" s="7" t="s">
        <v>373</v>
      </c>
      <c r="H140" s="7" t="s">
        <v>374</v>
      </c>
      <c r="I140" s="7" t="s">
        <v>375</v>
      </c>
      <c r="J140" s="7" t="s">
        <v>376</v>
      </c>
      <c r="K140" s="7" t="s">
        <v>377</v>
      </c>
      <c r="M140" s="1" t="str">
        <f t="shared" si="62"/>
        <v>N</v>
      </c>
      <c r="N140" s="1" t="str">
        <f t="shared" si="55"/>
        <v>N</v>
      </c>
      <c r="O140" s="1" t="str">
        <f t="shared" si="56"/>
        <v>N</v>
      </c>
      <c r="P140" s="1" t="str">
        <f t="shared" si="57"/>
        <v>N</v>
      </c>
      <c r="Q140" s="1" t="str">
        <f t="shared" si="58"/>
        <v>N</v>
      </c>
      <c r="R140" s="1" t="str">
        <f t="shared" si="59"/>
        <v>N</v>
      </c>
      <c r="S140" s="1" t="str">
        <f t="shared" si="60"/>
        <v>N</v>
      </c>
      <c r="T140" s="1" t="str">
        <f t="shared" si="63"/>
        <v>N</v>
      </c>
      <c r="U140" s="1" t="str">
        <f t="shared" si="61"/>
        <v>N</v>
      </c>
      <c r="V140" s="1" t="str">
        <f t="shared" si="61"/>
        <v>N</v>
      </c>
      <c r="Y140" s="1" t="str">
        <f t="shared" si="64"/>
        <v>N</v>
      </c>
      <c r="Z140" s="1" t="str">
        <f t="shared" si="65"/>
        <v>N</v>
      </c>
      <c r="AA140" s="1" t="str">
        <f t="shared" si="66"/>
        <v>N</v>
      </c>
      <c r="AB140" s="1" t="str">
        <f t="shared" si="67"/>
        <v>N</v>
      </c>
      <c r="AC140" s="1" t="str">
        <f t="shared" si="68"/>
        <v>N</v>
      </c>
      <c r="AD140" s="1" t="str">
        <f t="shared" si="69"/>
        <v>N</v>
      </c>
      <c r="AE140" s="1" t="str">
        <f t="shared" si="70"/>
        <v>N</v>
      </c>
      <c r="AF140" s="1" t="str">
        <f t="shared" si="71"/>
        <v>N</v>
      </c>
      <c r="AG140" s="1" t="str">
        <f t="shared" si="72"/>
        <v>N</v>
      </c>
      <c r="AH140" s="1" t="str">
        <f t="shared" si="73"/>
        <v>N</v>
      </c>
    </row>
    <row r="141" spans="1:34" x14ac:dyDescent="0.3">
      <c r="A141" s="1" t="s">
        <v>306</v>
      </c>
      <c r="B141" s="1" t="s">
        <v>132</v>
      </c>
      <c r="C141" s="7" t="s">
        <v>370</v>
      </c>
      <c r="D141" s="7" t="s">
        <v>371</v>
      </c>
      <c r="E141" s="7">
        <v>25.602727015729101</v>
      </c>
      <c r="F141" s="7" t="s">
        <v>372</v>
      </c>
      <c r="G141" s="7">
        <v>96.732134543309598</v>
      </c>
      <c r="H141" s="7">
        <v>162.28845640541999</v>
      </c>
      <c r="I141" s="7" t="s">
        <v>375</v>
      </c>
      <c r="J141" s="7" t="s">
        <v>376</v>
      </c>
      <c r="K141" s="7" t="s">
        <v>377</v>
      </c>
      <c r="M141" s="1" t="str">
        <f t="shared" si="62"/>
        <v>N</v>
      </c>
      <c r="N141" s="1" t="str">
        <f t="shared" si="55"/>
        <v>N</v>
      </c>
      <c r="O141" s="1" t="str">
        <f t="shared" si="56"/>
        <v>N</v>
      </c>
      <c r="P141" s="1" t="str">
        <f t="shared" si="57"/>
        <v>N</v>
      </c>
      <c r="Q141" s="1" t="str">
        <f t="shared" si="58"/>
        <v>Y</v>
      </c>
      <c r="R141" s="1" t="str">
        <f t="shared" si="59"/>
        <v>N</v>
      </c>
      <c r="S141" s="1" t="str">
        <f t="shared" si="60"/>
        <v>N</v>
      </c>
      <c r="T141" s="1" t="str">
        <f t="shared" si="63"/>
        <v>N</v>
      </c>
      <c r="U141" s="1" t="str">
        <f t="shared" si="61"/>
        <v>N</v>
      </c>
      <c r="V141" s="1" t="str">
        <f t="shared" si="61"/>
        <v>N</v>
      </c>
      <c r="Y141" s="1" t="str">
        <f t="shared" si="64"/>
        <v>N</v>
      </c>
      <c r="Z141" s="1" t="str">
        <f t="shared" si="65"/>
        <v>N</v>
      </c>
      <c r="AA141" s="1" t="str">
        <f t="shared" si="66"/>
        <v>N</v>
      </c>
      <c r="AB141" s="1" t="str">
        <f t="shared" si="67"/>
        <v>N</v>
      </c>
      <c r="AC141" s="1" t="str">
        <f t="shared" si="68"/>
        <v>Y</v>
      </c>
      <c r="AD141" s="1" t="str">
        <f t="shared" si="69"/>
        <v>N</v>
      </c>
      <c r="AE141" s="1" t="str">
        <f t="shared" si="70"/>
        <v>N</v>
      </c>
      <c r="AF141" s="1" t="str">
        <f t="shared" si="71"/>
        <v>N</v>
      </c>
      <c r="AG141" s="1" t="str">
        <f t="shared" si="72"/>
        <v>N</v>
      </c>
      <c r="AH141" s="1" t="str">
        <f t="shared" si="73"/>
        <v>N</v>
      </c>
    </row>
    <row r="142" spans="1:34" x14ac:dyDescent="0.3">
      <c r="A142" s="1" t="s">
        <v>307</v>
      </c>
      <c r="B142" s="1" t="s">
        <v>141</v>
      </c>
      <c r="C142" s="7" t="s">
        <v>370</v>
      </c>
      <c r="D142" s="7" t="s">
        <v>371</v>
      </c>
      <c r="E142" s="7">
        <v>15.9254487349878</v>
      </c>
      <c r="F142" s="7" t="s">
        <v>372</v>
      </c>
      <c r="G142" s="7" t="s">
        <v>373</v>
      </c>
      <c r="H142" s="7" t="s">
        <v>374</v>
      </c>
      <c r="I142" s="7" t="s">
        <v>375</v>
      </c>
      <c r="J142" s="7" t="s">
        <v>376</v>
      </c>
      <c r="K142" s="7" t="s">
        <v>377</v>
      </c>
      <c r="M142" s="1" t="str">
        <f t="shared" si="62"/>
        <v>N</v>
      </c>
      <c r="N142" s="1" t="str">
        <f t="shared" si="55"/>
        <v>N</v>
      </c>
      <c r="O142" s="1" t="str">
        <f t="shared" si="56"/>
        <v>N</v>
      </c>
      <c r="P142" s="1" t="str">
        <f t="shared" si="57"/>
        <v>N</v>
      </c>
      <c r="Q142" s="1" t="str">
        <f t="shared" si="58"/>
        <v>N</v>
      </c>
      <c r="R142" s="1" t="str">
        <f t="shared" si="59"/>
        <v>N</v>
      </c>
      <c r="S142" s="1" t="str">
        <f t="shared" si="60"/>
        <v>N</v>
      </c>
      <c r="T142" s="1" t="str">
        <f t="shared" si="63"/>
        <v>N</v>
      </c>
      <c r="U142" s="1" t="str">
        <f t="shared" si="61"/>
        <v>N</v>
      </c>
      <c r="V142" s="1" t="str">
        <f t="shared" si="61"/>
        <v>N</v>
      </c>
      <c r="Y142" s="1" t="str">
        <f t="shared" si="64"/>
        <v>N</v>
      </c>
      <c r="Z142" s="1" t="str">
        <f t="shared" si="65"/>
        <v>N</v>
      </c>
      <c r="AA142" s="1" t="str">
        <f t="shared" si="66"/>
        <v>N</v>
      </c>
      <c r="AB142" s="1" t="str">
        <f t="shared" si="67"/>
        <v>N</v>
      </c>
      <c r="AC142" s="1" t="str">
        <f t="shared" si="68"/>
        <v>N</v>
      </c>
      <c r="AD142" s="1" t="str">
        <f t="shared" si="69"/>
        <v>N</v>
      </c>
      <c r="AE142" s="1" t="str">
        <f t="shared" si="70"/>
        <v>N</v>
      </c>
      <c r="AF142" s="1" t="str">
        <f t="shared" si="71"/>
        <v>N</v>
      </c>
      <c r="AG142" s="1" t="str">
        <f t="shared" si="72"/>
        <v>N</v>
      </c>
      <c r="AH142" s="1" t="str">
        <f t="shared" si="73"/>
        <v>N</v>
      </c>
    </row>
    <row r="143" spans="1:34" x14ac:dyDescent="0.3">
      <c r="A143" s="1" t="s">
        <v>308</v>
      </c>
      <c r="B143" s="1" t="s">
        <v>133</v>
      </c>
      <c r="C143" s="7" t="s">
        <v>370</v>
      </c>
      <c r="D143" s="7" t="s">
        <v>371</v>
      </c>
      <c r="E143" s="7">
        <v>26.662351902606101</v>
      </c>
      <c r="F143" s="7" t="s">
        <v>372</v>
      </c>
      <c r="G143" s="7" t="s">
        <v>373</v>
      </c>
      <c r="H143" s="7" t="s">
        <v>374</v>
      </c>
      <c r="I143" s="7" t="s">
        <v>375</v>
      </c>
      <c r="J143" s="7" t="s">
        <v>376</v>
      </c>
      <c r="K143" s="7" t="s">
        <v>377</v>
      </c>
      <c r="M143" s="1" t="str">
        <f t="shared" si="62"/>
        <v>N</v>
      </c>
      <c r="N143" s="1" t="str">
        <f t="shared" si="55"/>
        <v>N</v>
      </c>
      <c r="O143" s="1" t="str">
        <f t="shared" si="56"/>
        <v>N</v>
      </c>
      <c r="P143" s="1" t="str">
        <f t="shared" si="57"/>
        <v>N</v>
      </c>
      <c r="Q143" s="1" t="str">
        <f t="shared" si="58"/>
        <v>N</v>
      </c>
      <c r="R143" s="1" t="str">
        <f t="shared" si="59"/>
        <v>N</v>
      </c>
      <c r="S143" s="1" t="str">
        <f t="shared" si="60"/>
        <v>N</v>
      </c>
      <c r="T143" s="1" t="str">
        <f t="shared" si="63"/>
        <v>N</v>
      </c>
      <c r="U143" s="1" t="str">
        <f t="shared" si="61"/>
        <v>N</v>
      </c>
      <c r="V143" s="1" t="str">
        <f t="shared" si="61"/>
        <v>N</v>
      </c>
      <c r="Y143" s="1" t="str">
        <f t="shared" si="64"/>
        <v>N</v>
      </c>
      <c r="Z143" s="1" t="str">
        <f t="shared" si="65"/>
        <v>N</v>
      </c>
      <c r="AA143" s="1" t="str">
        <f t="shared" si="66"/>
        <v>N</v>
      </c>
      <c r="AB143" s="1" t="str">
        <f t="shared" si="67"/>
        <v>N</v>
      </c>
      <c r="AC143" s="1" t="str">
        <f t="shared" si="68"/>
        <v>N</v>
      </c>
      <c r="AD143" s="1" t="str">
        <f t="shared" si="69"/>
        <v>N</v>
      </c>
      <c r="AE143" s="1" t="str">
        <f t="shared" si="70"/>
        <v>N</v>
      </c>
      <c r="AF143" s="1" t="str">
        <f t="shared" si="71"/>
        <v>N</v>
      </c>
      <c r="AG143" s="1" t="str">
        <f t="shared" si="72"/>
        <v>N</v>
      </c>
      <c r="AH143" s="1" t="str">
        <f t="shared" si="73"/>
        <v>N</v>
      </c>
    </row>
    <row r="144" spans="1:34" x14ac:dyDescent="0.3">
      <c r="A144" s="1" t="s">
        <v>309</v>
      </c>
      <c r="B144" s="1" t="s">
        <v>136</v>
      </c>
      <c r="C144" s="7" t="s">
        <v>370</v>
      </c>
      <c r="D144" s="7" t="s">
        <v>371</v>
      </c>
      <c r="E144" s="7">
        <v>37.764282718172801</v>
      </c>
      <c r="F144" s="7" t="s">
        <v>372</v>
      </c>
      <c r="G144" s="7">
        <v>15.268513840617899</v>
      </c>
      <c r="H144" s="7" t="s">
        <v>374</v>
      </c>
      <c r="I144" s="7" t="s">
        <v>375</v>
      </c>
      <c r="J144" s="7" t="s">
        <v>376</v>
      </c>
      <c r="K144" s="7" t="s">
        <v>377</v>
      </c>
      <c r="M144" s="1" t="str">
        <f t="shared" si="62"/>
        <v>N</v>
      </c>
      <c r="N144" s="1" t="str">
        <f t="shared" si="55"/>
        <v>N</v>
      </c>
      <c r="O144" s="1" t="str">
        <f t="shared" si="56"/>
        <v>N</v>
      </c>
      <c r="P144" s="1" t="str">
        <f t="shared" si="57"/>
        <v>N</v>
      </c>
      <c r="Q144" s="1" t="str">
        <f t="shared" si="58"/>
        <v>N</v>
      </c>
      <c r="R144" s="1" t="str">
        <f t="shared" si="59"/>
        <v>N</v>
      </c>
      <c r="S144" s="1" t="str">
        <f t="shared" si="60"/>
        <v>N</v>
      </c>
      <c r="T144" s="1" t="str">
        <f t="shared" si="63"/>
        <v>N</v>
      </c>
      <c r="U144" s="1" t="str">
        <f t="shared" si="61"/>
        <v>N</v>
      </c>
      <c r="V144" s="1" t="str">
        <f t="shared" si="61"/>
        <v>N</v>
      </c>
      <c r="Y144" s="1" t="str">
        <f t="shared" si="64"/>
        <v>N</v>
      </c>
      <c r="Z144" s="1" t="str">
        <f t="shared" si="65"/>
        <v>N</v>
      </c>
      <c r="AA144" s="1" t="str">
        <f t="shared" si="66"/>
        <v>N</v>
      </c>
      <c r="AB144" s="1" t="str">
        <f t="shared" si="67"/>
        <v>N</v>
      </c>
      <c r="AC144" s="1" t="str">
        <f t="shared" si="68"/>
        <v>N</v>
      </c>
      <c r="AD144" s="1" t="str">
        <f t="shared" si="69"/>
        <v>N</v>
      </c>
      <c r="AE144" s="1" t="str">
        <f t="shared" si="70"/>
        <v>N</v>
      </c>
      <c r="AF144" s="1" t="str">
        <f t="shared" si="71"/>
        <v>N</v>
      </c>
      <c r="AG144" s="1" t="str">
        <f t="shared" si="72"/>
        <v>N</v>
      </c>
      <c r="AH144" s="1" t="str">
        <f t="shared" si="73"/>
        <v>N</v>
      </c>
    </row>
    <row r="145" spans="1:34" x14ac:dyDescent="0.3">
      <c r="A145" s="1" t="s">
        <v>310</v>
      </c>
      <c r="B145" s="1" t="s">
        <v>145</v>
      </c>
      <c r="C145" s="7" t="s">
        <v>370</v>
      </c>
      <c r="D145" s="7" t="s">
        <v>371</v>
      </c>
      <c r="E145" s="7">
        <v>215.35845053772201</v>
      </c>
      <c r="F145" s="7" t="s">
        <v>372</v>
      </c>
      <c r="G145" s="7" t="s">
        <v>373</v>
      </c>
      <c r="H145" s="7" t="s">
        <v>374</v>
      </c>
      <c r="I145" s="7" t="s">
        <v>375</v>
      </c>
      <c r="J145" s="7" t="s">
        <v>376</v>
      </c>
      <c r="K145" s="7">
        <v>10.8029914830646</v>
      </c>
      <c r="M145" s="1" t="str">
        <f t="shared" si="62"/>
        <v>N</v>
      </c>
      <c r="N145" s="1" t="str">
        <f t="shared" si="55"/>
        <v>N</v>
      </c>
      <c r="O145" s="1" t="str">
        <f t="shared" si="56"/>
        <v>N</v>
      </c>
      <c r="P145" s="1" t="str">
        <f t="shared" si="57"/>
        <v>N</v>
      </c>
      <c r="Q145" s="1" t="str">
        <f t="shared" si="58"/>
        <v>N</v>
      </c>
      <c r="R145" s="1" t="str">
        <f t="shared" si="59"/>
        <v>N</v>
      </c>
      <c r="S145" s="1" t="str">
        <f t="shared" si="60"/>
        <v>N</v>
      </c>
      <c r="T145" s="1" t="str">
        <f t="shared" si="63"/>
        <v>N</v>
      </c>
      <c r="U145" s="1" t="str">
        <f t="shared" si="61"/>
        <v>N</v>
      </c>
      <c r="V145" s="1" t="str">
        <f t="shared" si="61"/>
        <v>N</v>
      </c>
      <c r="Y145" s="1" t="str">
        <f t="shared" si="64"/>
        <v>N</v>
      </c>
      <c r="Z145" s="1" t="str">
        <f t="shared" si="65"/>
        <v>N</v>
      </c>
      <c r="AA145" s="1" t="str">
        <f t="shared" si="66"/>
        <v>N</v>
      </c>
      <c r="AB145" s="1" t="str">
        <f t="shared" si="67"/>
        <v>N</v>
      </c>
      <c r="AC145" s="1" t="str">
        <f t="shared" si="68"/>
        <v>N</v>
      </c>
      <c r="AD145" s="1" t="str">
        <f t="shared" si="69"/>
        <v>N</v>
      </c>
      <c r="AE145" s="1" t="str">
        <f t="shared" si="70"/>
        <v>N</v>
      </c>
      <c r="AF145" s="1" t="str">
        <f t="shared" si="71"/>
        <v>N</v>
      </c>
      <c r="AG145" s="1" t="str">
        <f t="shared" si="72"/>
        <v>N</v>
      </c>
      <c r="AH145" s="1" t="str">
        <f t="shared" si="73"/>
        <v>N</v>
      </c>
    </row>
    <row r="146" spans="1:34" x14ac:dyDescent="0.3">
      <c r="A146" s="1" t="s">
        <v>311</v>
      </c>
      <c r="B146" s="1" t="s">
        <v>140</v>
      </c>
      <c r="C146" s="7" t="s">
        <v>370</v>
      </c>
      <c r="D146" s="7" t="s">
        <v>371</v>
      </c>
      <c r="E146" s="7">
        <v>58.871858681823703</v>
      </c>
      <c r="F146" s="7" t="s">
        <v>372</v>
      </c>
      <c r="G146" s="7">
        <v>365.11982861688699</v>
      </c>
      <c r="H146" s="7">
        <v>84.433501863228898</v>
      </c>
      <c r="I146" s="7" t="s">
        <v>375</v>
      </c>
      <c r="J146" s="7" t="s">
        <v>376</v>
      </c>
      <c r="K146" s="7" t="s">
        <v>377</v>
      </c>
      <c r="M146" s="1" t="str">
        <f t="shared" si="62"/>
        <v>N</v>
      </c>
      <c r="N146" s="1" t="str">
        <f t="shared" si="55"/>
        <v>N</v>
      </c>
      <c r="O146" s="1" t="str">
        <f t="shared" si="56"/>
        <v>N</v>
      </c>
      <c r="P146" s="1" t="str">
        <f t="shared" si="57"/>
        <v>N</v>
      </c>
      <c r="Q146" s="1" t="str">
        <f t="shared" si="58"/>
        <v>Y</v>
      </c>
      <c r="R146" s="1" t="str">
        <f t="shared" si="59"/>
        <v>N</v>
      </c>
      <c r="S146" s="1" t="str">
        <f t="shared" si="60"/>
        <v>N</v>
      </c>
      <c r="T146" s="1" t="str">
        <f t="shared" si="63"/>
        <v>N</v>
      </c>
      <c r="U146" s="1" t="str">
        <f t="shared" si="61"/>
        <v>N</v>
      </c>
      <c r="V146" s="1" t="str">
        <f t="shared" si="61"/>
        <v>N</v>
      </c>
      <c r="Y146" s="1" t="str">
        <f t="shared" si="64"/>
        <v>N</v>
      </c>
      <c r="Z146" s="1" t="str">
        <f t="shared" si="65"/>
        <v>N</v>
      </c>
      <c r="AA146" s="1" t="str">
        <f t="shared" si="66"/>
        <v>N</v>
      </c>
      <c r="AB146" s="1" t="str">
        <f t="shared" si="67"/>
        <v>N</v>
      </c>
      <c r="AC146" s="1" t="str">
        <f t="shared" si="68"/>
        <v>Y</v>
      </c>
      <c r="AD146" s="1" t="str">
        <f t="shared" si="69"/>
        <v>N</v>
      </c>
      <c r="AE146" s="1" t="str">
        <f t="shared" si="70"/>
        <v>N</v>
      </c>
      <c r="AF146" s="1" t="str">
        <f t="shared" si="71"/>
        <v>N</v>
      </c>
      <c r="AG146" s="1" t="str">
        <f t="shared" si="72"/>
        <v>N</v>
      </c>
      <c r="AH146" s="1" t="str">
        <f t="shared" si="73"/>
        <v>N</v>
      </c>
    </row>
    <row r="147" spans="1:34" x14ac:dyDescent="0.3">
      <c r="A147" s="1" t="s">
        <v>312</v>
      </c>
      <c r="B147" s="1" t="s">
        <v>154</v>
      </c>
      <c r="C147" s="7" t="s">
        <v>370</v>
      </c>
      <c r="D147" s="7" t="s">
        <v>371</v>
      </c>
      <c r="E147" s="7">
        <v>54.890494844258299</v>
      </c>
      <c r="F147" s="7" t="s">
        <v>372</v>
      </c>
      <c r="G147" s="7">
        <v>370.42576813752601</v>
      </c>
      <c r="H147" s="7">
        <v>59.007145163611099</v>
      </c>
      <c r="I147" s="7" t="s">
        <v>375</v>
      </c>
      <c r="J147" s="7" t="s">
        <v>376</v>
      </c>
      <c r="K147" s="7">
        <v>7.0155367990474398</v>
      </c>
      <c r="M147" s="1" t="str">
        <f t="shared" si="62"/>
        <v>N</v>
      </c>
      <c r="N147" s="1" t="str">
        <f t="shared" si="55"/>
        <v>N</v>
      </c>
      <c r="O147" s="1" t="str">
        <f t="shared" si="56"/>
        <v>N</v>
      </c>
      <c r="P147" s="1" t="str">
        <f t="shared" si="57"/>
        <v>N</v>
      </c>
      <c r="Q147" s="1" t="str">
        <f t="shared" si="58"/>
        <v>Y</v>
      </c>
      <c r="R147" s="1" t="str">
        <f t="shared" si="59"/>
        <v>N</v>
      </c>
      <c r="S147" s="1" t="str">
        <f t="shared" si="60"/>
        <v>N</v>
      </c>
      <c r="T147" s="1" t="str">
        <f t="shared" si="63"/>
        <v>N</v>
      </c>
      <c r="U147" s="1" t="str">
        <f t="shared" si="61"/>
        <v>N</v>
      </c>
      <c r="V147" s="1" t="str">
        <f t="shared" si="61"/>
        <v>N</v>
      </c>
      <c r="Y147" s="1" t="str">
        <f t="shared" si="64"/>
        <v>N</v>
      </c>
      <c r="Z147" s="1" t="str">
        <f t="shared" si="65"/>
        <v>N</v>
      </c>
      <c r="AA147" s="1" t="str">
        <f t="shared" si="66"/>
        <v>N</v>
      </c>
      <c r="AB147" s="1" t="str">
        <f t="shared" si="67"/>
        <v>N</v>
      </c>
      <c r="AC147" s="1" t="str">
        <f t="shared" si="68"/>
        <v>Y</v>
      </c>
      <c r="AD147" s="1" t="str">
        <f t="shared" si="69"/>
        <v>N</v>
      </c>
      <c r="AE147" s="1" t="str">
        <f t="shared" si="70"/>
        <v>N</v>
      </c>
      <c r="AF147" s="1" t="str">
        <f t="shared" si="71"/>
        <v>N</v>
      </c>
      <c r="AG147" s="1" t="str">
        <f t="shared" si="72"/>
        <v>N</v>
      </c>
      <c r="AH147" s="1" t="str">
        <f t="shared" si="73"/>
        <v>N</v>
      </c>
    </row>
    <row r="148" spans="1:34" x14ac:dyDescent="0.3">
      <c r="A148" s="1" t="s">
        <v>313</v>
      </c>
      <c r="B148" s="1" t="s">
        <v>163</v>
      </c>
      <c r="C148" s="7" t="s">
        <v>370</v>
      </c>
      <c r="D148" s="7" t="s">
        <v>371</v>
      </c>
      <c r="E148" s="7">
        <v>78.607123110619895</v>
      </c>
      <c r="F148" s="7" t="s">
        <v>372</v>
      </c>
      <c r="G148" s="7">
        <v>288.92986715509898</v>
      </c>
      <c r="H148" s="7">
        <v>54.050320849528802</v>
      </c>
      <c r="I148" s="7" t="s">
        <v>375</v>
      </c>
      <c r="J148" s="7" t="s">
        <v>376</v>
      </c>
      <c r="K148" s="7" t="s">
        <v>377</v>
      </c>
      <c r="M148" s="1" t="str">
        <f t="shared" si="62"/>
        <v>N</v>
      </c>
      <c r="N148" s="1" t="str">
        <f t="shared" si="55"/>
        <v>N</v>
      </c>
      <c r="O148" s="1" t="str">
        <f t="shared" si="56"/>
        <v>N</v>
      </c>
      <c r="P148" s="1" t="str">
        <f t="shared" si="57"/>
        <v>N</v>
      </c>
      <c r="Q148" s="1" t="str">
        <f t="shared" si="58"/>
        <v>Y</v>
      </c>
      <c r="R148" s="1" t="str">
        <f t="shared" si="59"/>
        <v>N</v>
      </c>
      <c r="S148" s="1" t="str">
        <f t="shared" si="60"/>
        <v>N</v>
      </c>
      <c r="T148" s="1" t="str">
        <f t="shared" si="63"/>
        <v>N</v>
      </c>
      <c r="U148" s="1" t="str">
        <f t="shared" si="61"/>
        <v>N</v>
      </c>
      <c r="V148" s="1" t="str">
        <f t="shared" si="61"/>
        <v>N</v>
      </c>
      <c r="Y148" s="1" t="str">
        <f t="shared" si="64"/>
        <v>N</v>
      </c>
      <c r="Z148" s="1" t="str">
        <f t="shared" si="65"/>
        <v>N</v>
      </c>
      <c r="AA148" s="1" t="str">
        <f t="shared" si="66"/>
        <v>N</v>
      </c>
      <c r="AB148" s="1" t="str">
        <f t="shared" si="67"/>
        <v>N</v>
      </c>
      <c r="AC148" s="1" t="str">
        <f t="shared" si="68"/>
        <v>Y</v>
      </c>
      <c r="AD148" s="1" t="str">
        <f t="shared" si="69"/>
        <v>N</v>
      </c>
      <c r="AE148" s="1" t="str">
        <f t="shared" si="70"/>
        <v>N</v>
      </c>
      <c r="AF148" s="1" t="str">
        <f t="shared" si="71"/>
        <v>N</v>
      </c>
      <c r="AG148" s="1" t="str">
        <f t="shared" si="72"/>
        <v>N</v>
      </c>
      <c r="AH148" s="1" t="str">
        <f t="shared" si="73"/>
        <v>N</v>
      </c>
    </row>
    <row r="149" spans="1:34" x14ac:dyDescent="0.3">
      <c r="A149" s="1" t="s">
        <v>314</v>
      </c>
      <c r="B149" s="1" t="s">
        <v>147</v>
      </c>
      <c r="C149" s="7" t="s">
        <v>370</v>
      </c>
      <c r="D149" s="7" t="s">
        <v>371</v>
      </c>
      <c r="E149" s="7">
        <v>31.0758708066518</v>
      </c>
      <c r="F149" s="7" t="s">
        <v>372</v>
      </c>
      <c r="G149" s="7" t="s">
        <v>373</v>
      </c>
      <c r="H149" s="7" t="s">
        <v>374</v>
      </c>
      <c r="I149" s="7" t="s">
        <v>375</v>
      </c>
      <c r="J149" s="7" t="s">
        <v>376</v>
      </c>
      <c r="K149" s="7" t="s">
        <v>377</v>
      </c>
      <c r="M149" s="1" t="str">
        <f t="shared" si="62"/>
        <v>N</v>
      </c>
      <c r="N149" s="1" t="str">
        <f t="shared" ref="N149:N181" si="74">IF(AND(D149&gt;N$4,ISNUMBER(D149)),"Y","N")</f>
        <v>N</v>
      </c>
      <c r="O149" s="1" t="str">
        <f t="shared" ref="O149:O181" si="75">IF(AND(E149&gt;O$4,ISNUMBER(E149)),"Y","N")</f>
        <v>N</v>
      </c>
      <c r="P149" s="1" t="str">
        <f t="shared" ref="P149:P181" si="76">IF(AND(F149&gt;P$4,ISNUMBER(F149)),"Y","N")</f>
        <v>N</v>
      </c>
      <c r="Q149" s="1" t="str">
        <f t="shared" ref="Q149:Q181" si="77">IF(AND(G149&gt;Q$4,ISNUMBER(G149)),"Y","N")</f>
        <v>N</v>
      </c>
      <c r="R149" s="1" t="str">
        <f t="shared" ref="R149:R181" si="78">IF(AND(H149&gt;R$4,ISNUMBER(H149)),"Y","N")</f>
        <v>N</v>
      </c>
      <c r="S149" s="1" t="str">
        <f t="shared" ref="S149:S181" si="79">IF(AND(I149&gt;S$4,ISNUMBER(I149)),"Y","N")</f>
        <v>N</v>
      </c>
      <c r="T149" s="1" t="str">
        <f t="shared" si="63"/>
        <v>N</v>
      </c>
      <c r="U149" s="1" t="str">
        <f t="shared" ref="U149:V181" si="80">IF(AND(K149&gt;U$4,ISNUMBER(K149)),"Y","N")</f>
        <v>N</v>
      </c>
      <c r="V149" s="1" t="str">
        <f t="shared" si="80"/>
        <v>N</v>
      </c>
      <c r="Y149" s="1" t="str">
        <f t="shared" si="64"/>
        <v>N</v>
      </c>
      <c r="Z149" s="1" t="str">
        <f t="shared" si="65"/>
        <v>N</v>
      </c>
      <c r="AA149" s="1" t="str">
        <f t="shared" si="66"/>
        <v>N</v>
      </c>
      <c r="AB149" s="1" t="str">
        <f t="shared" si="67"/>
        <v>N</v>
      </c>
      <c r="AC149" s="1" t="str">
        <f t="shared" si="68"/>
        <v>N</v>
      </c>
      <c r="AD149" s="1" t="str">
        <f t="shared" si="69"/>
        <v>N</v>
      </c>
      <c r="AE149" s="1" t="str">
        <f t="shared" si="70"/>
        <v>N</v>
      </c>
      <c r="AF149" s="1" t="str">
        <f t="shared" si="71"/>
        <v>N</v>
      </c>
      <c r="AG149" s="1" t="str">
        <f t="shared" si="72"/>
        <v>N</v>
      </c>
      <c r="AH149" s="1" t="str">
        <f t="shared" si="73"/>
        <v>N</v>
      </c>
    </row>
    <row r="150" spans="1:34" x14ac:dyDescent="0.3">
      <c r="A150" s="1" t="s">
        <v>315</v>
      </c>
      <c r="B150" s="1" t="s">
        <v>5</v>
      </c>
      <c r="C150" s="7" t="s">
        <v>370</v>
      </c>
      <c r="D150" s="7" t="s">
        <v>371</v>
      </c>
      <c r="E150" s="7">
        <v>8.6100514315715397</v>
      </c>
      <c r="F150" s="7" t="s">
        <v>372</v>
      </c>
      <c r="G150" s="7">
        <v>32.299505660658099</v>
      </c>
      <c r="H150" s="7">
        <v>177.79125708197401</v>
      </c>
      <c r="I150" s="7" t="s">
        <v>375</v>
      </c>
      <c r="J150" s="7">
        <v>195.77401340271101</v>
      </c>
      <c r="K150" s="7" t="s">
        <v>377</v>
      </c>
      <c r="M150" s="1" t="str">
        <f t="shared" si="62"/>
        <v>N</v>
      </c>
      <c r="N150" s="1" t="str">
        <f t="shared" si="74"/>
        <v>N</v>
      </c>
      <c r="O150" s="1" t="str">
        <f t="shared" si="75"/>
        <v>N</v>
      </c>
      <c r="P150" s="1" t="str">
        <f t="shared" si="76"/>
        <v>N</v>
      </c>
      <c r="Q150" s="1" t="str">
        <f t="shared" si="77"/>
        <v>N</v>
      </c>
      <c r="R150" s="1" t="str">
        <f t="shared" si="78"/>
        <v>N</v>
      </c>
      <c r="S150" s="1" t="str">
        <f t="shared" si="79"/>
        <v>N</v>
      </c>
      <c r="T150" s="1" t="str">
        <f t="shared" si="63"/>
        <v>N</v>
      </c>
      <c r="U150" s="1" t="str">
        <f t="shared" si="80"/>
        <v>N</v>
      </c>
      <c r="V150" s="1" t="str">
        <f t="shared" si="80"/>
        <v>N</v>
      </c>
      <c r="Y150" s="1" t="str">
        <f t="shared" si="64"/>
        <v>N</v>
      </c>
      <c r="Z150" s="1" t="str">
        <f t="shared" si="65"/>
        <v>N</v>
      </c>
      <c r="AA150" s="1" t="str">
        <f t="shared" si="66"/>
        <v>N</v>
      </c>
      <c r="AB150" s="1" t="str">
        <f t="shared" si="67"/>
        <v>N</v>
      </c>
      <c r="AC150" s="1" t="str">
        <f t="shared" si="68"/>
        <v>N</v>
      </c>
      <c r="AD150" s="1" t="str">
        <f t="shared" si="69"/>
        <v>N</v>
      </c>
      <c r="AE150" s="1" t="str">
        <f t="shared" si="70"/>
        <v>N</v>
      </c>
      <c r="AF150" s="1" t="str">
        <f t="shared" si="71"/>
        <v>N</v>
      </c>
      <c r="AG150" s="1" t="str">
        <f t="shared" si="72"/>
        <v>N</v>
      </c>
      <c r="AH150" s="1" t="str">
        <f t="shared" si="73"/>
        <v>N</v>
      </c>
    </row>
    <row r="151" spans="1:34" x14ac:dyDescent="0.3">
      <c r="A151" s="1" t="s">
        <v>316</v>
      </c>
      <c r="B151" s="1" t="s">
        <v>153</v>
      </c>
      <c r="C151" s="7" t="s">
        <v>370</v>
      </c>
      <c r="D151" s="7" t="s">
        <v>371</v>
      </c>
      <c r="E151" s="7">
        <v>8.6013640675557106</v>
      </c>
      <c r="F151" s="7" t="s">
        <v>372</v>
      </c>
      <c r="G151" s="7">
        <v>28.689375641336099</v>
      </c>
      <c r="H151" s="7">
        <v>334.964179124439</v>
      </c>
      <c r="I151" s="7" t="s">
        <v>375</v>
      </c>
      <c r="J151" s="7">
        <v>452.77274027906401</v>
      </c>
      <c r="K151" s="7" t="s">
        <v>377</v>
      </c>
      <c r="M151" s="1" t="str">
        <f t="shared" si="62"/>
        <v>N</v>
      </c>
      <c r="N151" s="1" t="str">
        <f t="shared" si="74"/>
        <v>N</v>
      </c>
      <c r="O151" s="1" t="str">
        <f t="shared" si="75"/>
        <v>N</v>
      </c>
      <c r="P151" s="1" t="str">
        <f t="shared" si="76"/>
        <v>N</v>
      </c>
      <c r="Q151" s="1" t="str">
        <f t="shared" si="77"/>
        <v>N</v>
      </c>
      <c r="R151" s="1" t="str">
        <f t="shared" si="78"/>
        <v>Y</v>
      </c>
      <c r="S151" s="1" t="str">
        <f t="shared" si="79"/>
        <v>N</v>
      </c>
      <c r="T151" s="1" t="str">
        <f t="shared" si="63"/>
        <v>N</v>
      </c>
      <c r="U151" s="1" t="str">
        <f t="shared" si="80"/>
        <v>N</v>
      </c>
      <c r="V151" s="1" t="str">
        <f t="shared" si="80"/>
        <v>N</v>
      </c>
      <c r="Y151" s="1" t="str">
        <f t="shared" si="64"/>
        <v>N</v>
      </c>
      <c r="Z151" s="1" t="str">
        <f t="shared" si="65"/>
        <v>N</v>
      </c>
      <c r="AA151" s="1" t="str">
        <f t="shared" si="66"/>
        <v>N</v>
      </c>
      <c r="AB151" s="1" t="str">
        <f t="shared" si="67"/>
        <v>N</v>
      </c>
      <c r="AC151" s="1" t="str">
        <f t="shared" si="68"/>
        <v>N</v>
      </c>
      <c r="AD151" s="1" t="str">
        <f t="shared" si="69"/>
        <v>N</v>
      </c>
      <c r="AE151" s="1" t="str">
        <f t="shared" si="70"/>
        <v>N</v>
      </c>
      <c r="AF151" s="1" t="str">
        <f t="shared" si="71"/>
        <v>N</v>
      </c>
      <c r="AG151" s="1" t="str">
        <f t="shared" si="72"/>
        <v>N</v>
      </c>
      <c r="AH151" s="1" t="str">
        <f t="shared" si="73"/>
        <v>N</v>
      </c>
    </row>
    <row r="152" spans="1:34" x14ac:dyDescent="0.3">
      <c r="A152" s="1" t="s">
        <v>317</v>
      </c>
      <c r="B152" s="1" t="s">
        <v>162</v>
      </c>
      <c r="C152" s="7" t="s">
        <v>370</v>
      </c>
      <c r="D152" s="7" t="s">
        <v>371</v>
      </c>
      <c r="E152" s="7">
        <v>9.5099821473943198</v>
      </c>
      <c r="F152" s="7" t="s">
        <v>372</v>
      </c>
      <c r="G152" s="7">
        <v>29.339326889818398</v>
      </c>
      <c r="H152" s="7">
        <v>378.45695762481103</v>
      </c>
      <c r="I152" s="7" t="s">
        <v>375</v>
      </c>
      <c r="J152" s="7">
        <v>513.46416887963096</v>
      </c>
      <c r="K152" s="7" t="s">
        <v>377</v>
      </c>
      <c r="M152" s="1" t="str">
        <f t="shared" si="62"/>
        <v>N</v>
      </c>
      <c r="N152" s="1" t="str">
        <f t="shared" si="74"/>
        <v>N</v>
      </c>
      <c r="O152" s="1" t="str">
        <f t="shared" si="75"/>
        <v>N</v>
      </c>
      <c r="P152" s="1" t="str">
        <f t="shared" si="76"/>
        <v>N</v>
      </c>
      <c r="Q152" s="1" t="str">
        <f t="shared" si="77"/>
        <v>N</v>
      </c>
      <c r="R152" s="1" t="str">
        <f t="shared" si="78"/>
        <v>Y</v>
      </c>
      <c r="S152" s="1" t="str">
        <f t="shared" si="79"/>
        <v>N</v>
      </c>
      <c r="T152" s="1" t="str">
        <f t="shared" si="63"/>
        <v>N</v>
      </c>
      <c r="U152" s="1" t="str">
        <f t="shared" si="80"/>
        <v>N</v>
      </c>
      <c r="V152" s="1" t="str">
        <f t="shared" si="80"/>
        <v>N</v>
      </c>
      <c r="Y152" s="1" t="str">
        <f t="shared" si="64"/>
        <v>N</v>
      </c>
      <c r="Z152" s="1" t="str">
        <f t="shared" si="65"/>
        <v>N</v>
      </c>
      <c r="AA152" s="1" t="str">
        <f t="shared" si="66"/>
        <v>N</v>
      </c>
      <c r="AB152" s="1" t="str">
        <f t="shared" si="67"/>
        <v>N</v>
      </c>
      <c r="AC152" s="1" t="str">
        <f t="shared" si="68"/>
        <v>N</v>
      </c>
      <c r="AD152" s="1" t="str">
        <f t="shared" si="69"/>
        <v>N</v>
      </c>
      <c r="AE152" s="1" t="str">
        <f t="shared" si="70"/>
        <v>N</v>
      </c>
      <c r="AF152" s="1" t="str">
        <f t="shared" si="71"/>
        <v>N</v>
      </c>
      <c r="AG152" s="1" t="str">
        <f t="shared" si="72"/>
        <v>N</v>
      </c>
      <c r="AH152" s="1" t="str">
        <f t="shared" si="73"/>
        <v>N</v>
      </c>
    </row>
    <row r="153" spans="1:34" x14ac:dyDescent="0.3">
      <c r="A153" s="1" t="s">
        <v>318</v>
      </c>
      <c r="B153" s="1" t="s">
        <v>168</v>
      </c>
      <c r="C153" s="7" t="s">
        <v>370</v>
      </c>
      <c r="D153" s="7" t="s">
        <v>371</v>
      </c>
      <c r="E153" s="7">
        <v>65.622913459617806</v>
      </c>
      <c r="F153" s="7" t="s">
        <v>372</v>
      </c>
      <c r="G153" s="7" t="s">
        <v>373</v>
      </c>
      <c r="H153" s="7" t="s">
        <v>374</v>
      </c>
      <c r="I153" s="7" t="s">
        <v>375</v>
      </c>
      <c r="J153" s="7" t="s">
        <v>376</v>
      </c>
      <c r="K153" s="7" t="s">
        <v>377</v>
      </c>
      <c r="M153" s="1" t="str">
        <f t="shared" si="62"/>
        <v>N</v>
      </c>
      <c r="N153" s="1" t="str">
        <f t="shared" si="74"/>
        <v>N</v>
      </c>
      <c r="O153" s="1" t="str">
        <f t="shared" si="75"/>
        <v>N</v>
      </c>
      <c r="P153" s="1" t="str">
        <f t="shared" si="76"/>
        <v>N</v>
      </c>
      <c r="Q153" s="1" t="str">
        <f t="shared" si="77"/>
        <v>N</v>
      </c>
      <c r="R153" s="1" t="str">
        <f t="shared" si="78"/>
        <v>N</v>
      </c>
      <c r="S153" s="1" t="str">
        <f t="shared" si="79"/>
        <v>N</v>
      </c>
      <c r="T153" s="1" t="str">
        <f t="shared" si="63"/>
        <v>N</v>
      </c>
      <c r="U153" s="1" t="str">
        <f t="shared" si="80"/>
        <v>N</v>
      </c>
      <c r="V153" s="1" t="str">
        <f t="shared" si="80"/>
        <v>N</v>
      </c>
      <c r="Y153" s="1" t="str">
        <f t="shared" si="64"/>
        <v>N</v>
      </c>
      <c r="Z153" s="1" t="str">
        <f t="shared" si="65"/>
        <v>N</v>
      </c>
      <c r="AA153" s="1" t="str">
        <f t="shared" si="66"/>
        <v>N</v>
      </c>
      <c r="AB153" s="1" t="str">
        <f t="shared" si="67"/>
        <v>N</v>
      </c>
      <c r="AC153" s="1" t="str">
        <f t="shared" si="68"/>
        <v>N</v>
      </c>
      <c r="AD153" s="1" t="str">
        <f t="shared" si="69"/>
        <v>N</v>
      </c>
      <c r="AE153" s="1" t="str">
        <f t="shared" si="70"/>
        <v>N</v>
      </c>
      <c r="AF153" s="1" t="str">
        <f t="shared" si="71"/>
        <v>N</v>
      </c>
      <c r="AG153" s="1" t="str">
        <f t="shared" si="72"/>
        <v>N</v>
      </c>
      <c r="AH153" s="1" t="str">
        <f t="shared" si="73"/>
        <v>N</v>
      </c>
    </row>
    <row r="154" spans="1:34" x14ac:dyDescent="0.3">
      <c r="A154" s="1" t="s">
        <v>319</v>
      </c>
      <c r="B154" s="1" t="s">
        <v>4</v>
      </c>
      <c r="C154" s="7" t="s">
        <v>370</v>
      </c>
      <c r="D154" s="7" t="s">
        <v>371</v>
      </c>
      <c r="E154" s="7">
        <v>26.5184440137031</v>
      </c>
      <c r="F154" s="7" t="s">
        <v>372</v>
      </c>
      <c r="G154" s="7">
        <v>6.2901780215274501</v>
      </c>
      <c r="H154" s="7" t="s">
        <v>374</v>
      </c>
      <c r="I154" s="7" t="s">
        <v>375</v>
      </c>
      <c r="J154" s="7" t="s">
        <v>376</v>
      </c>
      <c r="K154" s="7" t="s">
        <v>377</v>
      </c>
      <c r="M154" s="1" t="str">
        <f t="shared" si="62"/>
        <v>N</v>
      </c>
      <c r="N154" s="1" t="str">
        <f t="shared" si="74"/>
        <v>N</v>
      </c>
      <c r="O154" s="1" t="str">
        <f t="shared" si="75"/>
        <v>N</v>
      </c>
      <c r="P154" s="1" t="str">
        <f t="shared" si="76"/>
        <v>N</v>
      </c>
      <c r="Q154" s="1" t="str">
        <f t="shared" si="77"/>
        <v>N</v>
      </c>
      <c r="R154" s="1" t="str">
        <f t="shared" si="78"/>
        <v>N</v>
      </c>
      <c r="S154" s="1" t="str">
        <f t="shared" si="79"/>
        <v>N</v>
      </c>
      <c r="T154" s="1" t="str">
        <f t="shared" si="63"/>
        <v>N</v>
      </c>
      <c r="U154" s="1" t="str">
        <f t="shared" si="80"/>
        <v>N</v>
      </c>
      <c r="V154" s="1" t="str">
        <f t="shared" si="80"/>
        <v>N</v>
      </c>
      <c r="Y154" s="1" t="str">
        <f t="shared" si="64"/>
        <v>N</v>
      </c>
      <c r="Z154" s="1" t="str">
        <f t="shared" si="65"/>
        <v>N</v>
      </c>
      <c r="AA154" s="1" t="str">
        <f t="shared" si="66"/>
        <v>N</v>
      </c>
      <c r="AB154" s="1" t="str">
        <f t="shared" si="67"/>
        <v>N</v>
      </c>
      <c r="AC154" s="1" t="str">
        <f t="shared" si="68"/>
        <v>N</v>
      </c>
      <c r="AD154" s="1" t="str">
        <f t="shared" si="69"/>
        <v>N</v>
      </c>
      <c r="AE154" s="1" t="str">
        <f t="shared" si="70"/>
        <v>N</v>
      </c>
      <c r="AF154" s="1" t="str">
        <f t="shared" si="71"/>
        <v>N</v>
      </c>
      <c r="AG154" s="1" t="str">
        <f t="shared" si="72"/>
        <v>N</v>
      </c>
      <c r="AH154" s="1" t="str">
        <f t="shared" si="73"/>
        <v>N</v>
      </c>
    </row>
    <row r="155" spans="1:34" x14ac:dyDescent="0.3">
      <c r="A155" s="1" t="s">
        <v>320</v>
      </c>
      <c r="B155" s="1" t="s">
        <v>155</v>
      </c>
      <c r="C155" s="7" t="s">
        <v>370</v>
      </c>
      <c r="D155" s="7" t="s">
        <v>371</v>
      </c>
      <c r="E155" s="7">
        <v>8.4086111706746394</v>
      </c>
      <c r="F155" s="7" t="s">
        <v>372</v>
      </c>
      <c r="G155" s="7">
        <v>10.387861039996499</v>
      </c>
      <c r="H155" s="7">
        <v>31.305247223392399</v>
      </c>
      <c r="I155" s="7" t="s">
        <v>375</v>
      </c>
      <c r="J155" s="7" t="s">
        <v>376</v>
      </c>
      <c r="K155" s="7" t="s">
        <v>377</v>
      </c>
      <c r="M155" s="1" t="str">
        <f t="shared" si="62"/>
        <v>N</v>
      </c>
      <c r="N155" s="1" t="str">
        <f t="shared" si="74"/>
        <v>N</v>
      </c>
      <c r="O155" s="1" t="str">
        <f t="shared" si="75"/>
        <v>N</v>
      </c>
      <c r="P155" s="1" t="str">
        <f t="shared" si="76"/>
        <v>N</v>
      </c>
      <c r="Q155" s="1" t="str">
        <f t="shared" si="77"/>
        <v>N</v>
      </c>
      <c r="R155" s="1" t="str">
        <f t="shared" si="78"/>
        <v>N</v>
      </c>
      <c r="S155" s="1" t="str">
        <f t="shared" si="79"/>
        <v>N</v>
      </c>
      <c r="T155" s="1" t="str">
        <f t="shared" si="63"/>
        <v>N</v>
      </c>
      <c r="U155" s="1" t="str">
        <f t="shared" si="80"/>
        <v>N</v>
      </c>
      <c r="V155" s="1" t="str">
        <f t="shared" si="80"/>
        <v>N</v>
      </c>
      <c r="Y155" s="1" t="str">
        <f t="shared" si="64"/>
        <v>N</v>
      </c>
      <c r="Z155" s="1" t="str">
        <f t="shared" si="65"/>
        <v>N</v>
      </c>
      <c r="AA155" s="1" t="str">
        <f t="shared" si="66"/>
        <v>N</v>
      </c>
      <c r="AB155" s="1" t="str">
        <f t="shared" si="67"/>
        <v>N</v>
      </c>
      <c r="AC155" s="1" t="str">
        <f t="shared" si="68"/>
        <v>N</v>
      </c>
      <c r="AD155" s="1" t="str">
        <f t="shared" si="69"/>
        <v>N</v>
      </c>
      <c r="AE155" s="1" t="str">
        <f t="shared" si="70"/>
        <v>N</v>
      </c>
      <c r="AF155" s="1" t="str">
        <f t="shared" si="71"/>
        <v>N</v>
      </c>
      <c r="AG155" s="1" t="str">
        <f t="shared" si="72"/>
        <v>N</v>
      </c>
      <c r="AH155" s="1" t="str">
        <f t="shared" si="73"/>
        <v>N</v>
      </c>
    </row>
    <row r="156" spans="1:34" x14ac:dyDescent="0.3">
      <c r="A156" s="1" t="s">
        <v>321</v>
      </c>
      <c r="B156" s="1" t="s">
        <v>164</v>
      </c>
      <c r="C156" s="7" t="s">
        <v>370</v>
      </c>
      <c r="D156" s="7" t="s">
        <v>371</v>
      </c>
      <c r="E156" s="7">
        <v>30.512398799216399</v>
      </c>
      <c r="F156" s="7" t="s">
        <v>372</v>
      </c>
      <c r="G156" s="7">
        <v>6.3629468942315199</v>
      </c>
      <c r="H156" s="7">
        <v>34.683774789436001</v>
      </c>
      <c r="I156" s="7" t="s">
        <v>375</v>
      </c>
      <c r="J156" s="7" t="s">
        <v>376</v>
      </c>
      <c r="K156" s="7" t="s">
        <v>377</v>
      </c>
      <c r="M156" s="1" t="str">
        <f t="shared" si="62"/>
        <v>N</v>
      </c>
      <c r="N156" s="1" t="str">
        <f t="shared" si="74"/>
        <v>N</v>
      </c>
      <c r="O156" s="1" t="str">
        <f t="shared" si="75"/>
        <v>N</v>
      </c>
      <c r="P156" s="1" t="str">
        <f t="shared" si="76"/>
        <v>N</v>
      </c>
      <c r="Q156" s="1" t="str">
        <f t="shared" si="77"/>
        <v>N</v>
      </c>
      <c r="R156" s="1" t="str">
        <f t="shared" si="78"/>
        <v>N</v>
      </c>
      <c r="S156" s="1" t="str">
        <f t="shared" si="79"/>
        <v>N</v>
      </c>
      <c r="T156" s="1" t="str">
        <f t="shared" si="63"/>
        <v>N</v>
      </c>
      <c r="U156" s="1" t="str">
        <f t="shared" si="80"/>
        <v>N</v>
      </c>
      <c r="V156" s="1" t="str">
        <f t="shared" si="80"/>
        <v>N</v>
      </c>
      <c r="Y156" s="1" t="str">
        <f t="shared" si="64"/>
        <v>N</v>
      </c>
      <c r="Z156" s="1" t="str">
        <f t="shared" si="65"/>
        <v>N</v>
      </c>
      <c r="AA156" s="1" t="str">
        <f t="shared" si="66"/>
        <v>N</v>
      </c>
      <c r="AB156" s="1" t="str">
        <f t="shared" si="67"/>
        <v>N</v>
      </c>
      <c r="AC156" s="1" t="str">
        <f t="shared" si="68"/>
        <v>N</v>
      </c>
      <c r="AD156" s="1" t="str">
        <f t="shared" si="69"/>
        <v>N</v>
      </c>
      <c r="AE156" s="1" t="str">
        <f t="shared" si="70"/>
        <v>N</v>
      </c>
      <c r="AF156" s="1" t="str">
        <f t="shared" si="71"/>
        <v>N</v>
      </c>
      <c r="AG156" s="1" t="str">
        <f t="shared" si="72"/>
        <v>N</v>
      </c>
      <c r="AH156" s="1" t="str">
        <f t="shared" si="73"/>
        <v>N</v>
      </c>
    </row>
    <row r="157" spans="1:34" x14ac:dyDescent="0.3">
      <c r="A157" s="1" t="s">
        <v>322</v>
      </c>
      <c r="B157" s="1" t="s">
        <v>148</v>
      </c>
      <c r="C157" s="7" t="s">
        <v>370</v>
      </c>
      <c r="D157" s="7" t="s">
        <v>371</v>
      </c>
      <c r="E157" s="7">
        <v>48.387270729631702</v>
      </c>
      <c r="F157" s="7" t="s">
        <v>372</v>
      </c>
      <c r="G157" s="7">
        <v>10.5980028875471</v>
      </c>
      <c r="H157" s="7" t="s">
        <v>374</v>
      </c>
      <c r="I157" s="7" t="s">
        <v>375</v>
      </c>
      <c r="J157" s="7" t="s">
        <v>376</v>
      </c>
      <c r="K157" s="7" t="s">
        <v>377</v>
      </c>
      <c r="M157" s="1" t="str">
        <f t="shared" si="62"/>
        <v>N</v>
      </c>
      <c r="N157" s="1" t="str">
        <f t="shared" si="74"/>
        <v>N</v>
      </c>
      <c r="O157" s="1" t="str">
        <f t="shared" si="75"/>
        <v>N</v>
      </c>
      <c r="P157" s="1" t="str">
        <f t="shared" si="76"/>
        <v>N</v>
      </c>
      <c r="Q157" s="1" t="str">
        <f t="shared" si="77"/>
        <v>N</v>
      </c>
      <c r="R157" s="1" t="str">
        <f t="shared" si="78"/>
        <v>N</v>
      </c>
      <c r="S157" s="1" t="str">
        <f t="shared" si="79"/>
        <v>N</v>
      </c>
      <c r="T157" s="1" t="str">
        <f t="shared" si="63"/>
        <v>N</v>
      </c>
      <c r="U157" s="1" t="str">
        <f t="shared" si="80"/>
        <v>N</v>
      </c>
      <c r="V157" s="1" t="str">
        <f t="shared" si="80"/>
        <v>N</v>
      </c>
      <c r="Y157" s="1" t="str">
        <f t="shared" si="64"/>
        <v>N</v>
      </c>
      <c r="Z157" s="1" t="str">
        <f t="shared" si="65"/>
        <v>N</v>
      </c>
      <c r="AA157" s="1" t="str">
        <f t="shared" si="66"/>
        <v>N</v>
      </c>
      <c r="AB157" s="1" t="str">
        <f t="shared" si="67"/>
        <v>N</v>
      </c>
      <c r="AC157" s="1" t="str">
        <f t="shared" si="68"/>
        <v>N</v>
      </c>
      <c r="AD157" s="1" t="str">
        <f t="shared" si="69"/>
        <v>N</v>
      </c>
      <c r="AE157" s="1" t="str">
        <f t="shared" si="70"/>
        <v>N</v>
      </c>
      <c r="AF157" s="1" t="str">
        <f t="shared" si="71"/>
        <v>N</v>
      </c>
      <c r="AG157" s="1" t="str">
        <f t="shared" si="72"/>
        <v>N</v>
      </c>
      <c r="AH157" s="1" t="str">
        <f t="shared" si="73"/>
        <v>N</v>
      </c>
    </row>
    <row r="158" spans="1:34" x14ac:dyDescent="0.3">
      <c r="A158" s="1" t="s">
        <v>323</v>
      </c>
      <c r="B158" s="1" t="s">
        <v>169</v>
      </c>
      <c r="C158" s="7" t="s">
        <v>370</v>
      </c>
      <c r="D158" s="7" t="s">
        <v>371</v>
      </c>
      <c r="E158" s="7">
        <v>25.9118650181886</v>
      </c>
      <c r="F158" s="7" t="s">
        <v>372</v>
      </c>
      <c r="G158" s="7">
        <v>3.87878444087149</v>
      </c>
      <c r="H158" s="7" t="s">
        <v>374</v>
      </c>
      <c r="I158" s="7" t="s">
        <v>375</v>
      </c>
      <c r="J158" s="7" t="s">
        <v>376</v>
      </c>
      <c r="K158" s="7" t="s">
        <v>377</v>
      </c>
      <c r="M158" s="1" t="str">
        <f t="shared" si="62"/>
        <v>N</v>
      </c>
      <c r="N158" s="1" t="str">
        <f t="shared" si="74"/>
        <v>N</v>
      </c>
      <c r="O158" s="1" t="str">
        <f t="shared" si="75"/>
        <v>N</v>
      </c>
      <c r="P158" s="1" t="str">
        <f t="shared" si="76"/>
        <v>N</v>
      </c>
      <c r="Q158" s="1" t="str">
        <f t="shared" si="77"/>
        <v>N</v>
      </c>
      <c r="R158" s="1" t="str">
        <f t="shared" si="78"/>
        <v>N</v>
      </c>
      <c r="S158" s="1" t="str">
        <f t="shared" si="79"/>
        <v>N</v>
      </c>
      <c r="T158" s="1" t="str">
        <f t="shared" si="63"/>
        <v>N</v>
      </c>
      <c r="U158" s="1" t="str">
        <f t="shared" si="80"/>
        <v>N</v>
      </c>
      <c r="V158" s="1" t="str">
        <f t="shared" si="80"/>
        <v>N</v>
      </c>
      <c r="Y158" s="1" t="str">
        <f t="shared" si="64"/>
        <v>N</v>
      </c>
      <c r="Z158" s="1" t="str">
        <f t="shared" si="65"/>
        <v>N</v>
      </c>
      <c r="AA158" s="1" t="str">
        <f t="shared" si="66"/>
        <v>N</v>
      </c>
      <c r="AB158" s="1" t="str">
        <f t="shared" si="67"/>
        <v>N</v>
      </c>
      <c r="AC158" s="1" t="str">
        <f t="shared" si="68"/>
        <v>N</v>
      </c>
      <c r="AD158" s="1" t="str">
        <f t="shared" si="69"/>
        <v>N</v>
      </c>
      <c r="AE158" s="1" t="str">
        <f t="shared" si="70"/>
        <v>N</v>
      </c>
      <c r="AF158" s="1" t="str">
        <f t="shared" si="71"/>
        <v>N</v>
      </c>
      <c r="AG158" s="1" t="str">
        <f t="shared" si="72"/>
        <v>N</v>
      </c>
      <c r="AH158" s="1" t="str">
        <f t="shared" si="73"/>
        <v>N</v>
      </c>
    </row>
    <row r="159" spans="1:34" x14ac:dyDescent="0.3">
      <c r="A159" s="1" t="s">
        <v>324</v>
      </c>
      <c r="B159" s="1" t="s">
        <v>7</v>
      </c>
      <c r="C159" s="7" t="s">
        <v>370</v>
      </c>
      <c r="D159" s="7" t="s">
        <v>371</v>
      </c>
      <c r="E159" s="7">
        <v>66.207704376916396</v>
      </c>
      <c r="F159" s="7" t="s">
        <v>372</v>
      </c>
      <c r="G159" s="7">
        <v>5.6816175902164403</v>
      </c>
      <c r="H159" s="7" t="s">
        <v>374</v>
      </c>
      <c r="I159" s="7" t="s">
        <v>375</v>
      </c>
      <c r="J159" s="7" t="s">
        <v>376</v>
      </c>
      <c r="K159" s="7" t="s">
        <v>377</v>
      </c>
      <c r="M159" s="1" t="str">
        <f t="shared" si="62"/>
        <v>N</v>
      </c>
      <c r="N159" s="1" t="str">
        <f t="shared" si="74"/>
        <v>N</v>
      </c>
      <c r="O159" s="1" t="str">
        <f t="shared" si="75"/>
        <v>N</v>
      </c>
      <c r="P159" s="1" t="str">
        <f t="shared" si="76"/>
        <v>N</v>
      </c>
      <c r="Q159" s="1" t="str">
        <f t="shared" si="77"/>
        <v>N</v>
      </c>
      <c r="R159" s="1" t="str">
        <f t="shared" si="78"/>
        <v>N</v>
      </c>
      <c r="S159" s="1" t="str">
        <f t="shared" si="79"/>
        <v>N</v>
      </c>
      <c r="T159" s="1" t="str">
        <f t="shared" si="63"/>
        <v>N</v>
      </c>
      <c r="U159" s="1" t="str">
        <f t="shared" si="80"/>
        <v>N</v>
      </c>
      <c r="V159" s="1" t="str">
        <f t="shared" si="80"/>
        <v>N</v>
      </c>
      <c r="Y159" s="1" t="str">
        <f t="shared" si="64"/>
        <v>N</v>
      </c>
      <c r="Z159" s="1" t="str">
        <f t="shared" si="65"/>
        <v>N</v>
      </c>
      <c r="AA159" s="1" t="str">
        <f t="shared" si="66"/>
        <v>N</v>
      </c>
      <c r="AB159" s="1" t="str">
        <f t="shared" si="67"/>
        <v>N</v>
      </c>
      <c r="AC159" s="1" t="str">
        <f t="shared" si="68"/>
        <v>N</v>
      </c>
      <c r="AD159" s="1" t="str">
        <f t="shared" si="69"/>
        <v>N</v>
      </c>
      <c r="AE159" s="1" t="str">
        <f t="shared" si="70"/>
        <v>N</v>
      </c>
      <c r="AF159" s="1" t="str">
        <f t="shared" si="71"/>
        <v>N</v>
      </c>
      <c r="AG159" s="1" t="str">
        <f t="shared" si="72"/>
        <v>N</v>
      </c>
      <c r="AH159" s="1" t="str">
        <f t="shared" si="73"/>
        <v>N</v>
      </c>
    </row>
    <row r="160" spans="1:34" x14ac:dyDescent="0.3">
      <c r="A160" s="1" t="s">
        <v>325</v>
      </c>
      <c r="B160" s="1" t="s">
        <v>156</v>
      </c>
      <c r="C160" s="7" t="s">
        <v>370</v>
      </c>
      <c r="D160" s="7" t="s">
        <v>371</v>
      </c>
      <c r="E160" s="7">
        <v>88.259357829426605</v>
      </c>
      <c r="F160" s="7" t="s">
        <v>372</v>
      </c>
      <c r="G160" s="7">
        <v>11.729369264955499</v>
      </c>
      <c r="H160" s="7" t="s">
        <v>374</v>
      </c>
      <c r="I160" s="7" t="s">
        <v>375</v>
      </c>
      <c r="J160" s="7" t="s">
        <v>376</v>
      </c>
      <c r="K160" s="7" t="s">
        <v>377</v>
      </c>
      <c r="M160" s="1" t="str">
        <f t="shared" si="62"/>
        <v>N</v>
      </c>
      <c r="N160" s="1" t="str">
        <f t="shared" si="74"/>
        <v>N</v>
      </c>
      <c r="O160" s="1" t="str">
        <f t="shared" si="75"/>
        <v>N</v>
      </c>
      <c r="P160" s="1" t="str">
        <f t="shared" si="76"/>
        <v>N</v>
      </c>
      <c r="Q160" s="1" t="str">
        <f t="shared" si="77"/>
        <v>N</v>
      </c>
      <c r="R160" s="1" t="str">
        <f t="shared" si="78"/>
        <v>N</v>
      </c>
      <c r="S160" s="1" t="str">
        <f t="shared" si="79"/>
        <v>N</v>
      </c>
      <c r="T160" s="1" t="str">
        <f t="shared" si="63"/>
        <v>N</v>
      </c>
      <c r="U160" s="1" t="str">
        <f t="shared" si="80"/>
        <v>N</v>
      </c>
      <c r="V160" s="1" t="str">
        <f t="shared" si="80"/>
        <v>N</v>
      </c>
      <c r="Y160" s="1" t="str">
        <f t="shared" si="64"/>
        <v>N</v>
      </c>
      <c r="Z160" s="1" t="str">
        <f t="shared" si="65"/>
        <v>N</v>
      </c>
      <c r="AA160" s="1" t="str">
        <f t="shared" si="66"/>
        <v>N</v>
      </c>
      <c r="AB160" s="1" t="str">
        <f t="shared" si="67"/>
        <v>N</v>
      </c>
      <c r="AC160" s="1" t="str">
        <f t="shared" si="68"/>
        <v>N</v>
      </c>
      <c r="AD160" s="1" t="str">
        <f t="shared" si="69"/>
        <v>N</v>
      </c>
      <c r="AE160" s="1" t="str">
        <f t="shared" si="70"/>
        <v>N</v>
      </c>
      <c r="AF160" s="1" t="str">
        <f t="shared" si="71"/>
        <v>N</v>
      </c>
      <c r="AG160" s="1" t="str">
        <f t="shared" si="72"/>
        <v>N</v>
      </c>
      <c r="AH160" s="1" t="str">
        <f t="shared" si="73"/>
        <v>N</v>
      </c>
    </row>
    <row r="161" spans="1:34" x14ac:dyDescent="0.3">
      <c r="A161" s="1" t="s">
        <v>326</v>
      </c>
      <c r="B161" s="1" t="s">
        <v>165</v>
      </c>
      <c r="C161" s="7" t="s">
        <v>370</v>
      </c>
      <c r="D161" s="7" t="s">
        <v>371</v>
      </c>
      <c r="E161" s="7">
        <v>57.840437565870602</v>
      </c>
      <c r="F161" s="7" t="s">
        <v>372</v>
      </c>
      <c r="G161" s="7" t="s">
        <v>373</v>
      </c>
      <c r="H161" s="7" t="s">
        <v>374</v>
      </c>
      <c r="I161" s="7" t="s">
        <v>375</v>
      </c>
      <c r="J161" s="7" t="s">
        <v>376</v>
      </c>
      <c r="K161" s="7" t="s">
        <v>377</v>
      </c>
      <c r="M161" s="1" t="str">
        <f t="shared" si="62"/>
        <v>N</v>
      </c>
      <c r="N161" s="1" t="str">
        <f t="shared" si="74"/>
        <v>N</v>
      </c>
      <c r="O161" s="1" t="str">
        <f t="shared" si="75"/>
        <v>N</v>
      </c>
      <c r="P161" s="1" t="str">
        <f t="shared" si="76"/>
        <v>N</v>
      </c>
      <c r="Q161" s="1" t="str">
        <f t="shared" si="77"/>
        <v>N</v>
      </c>
      <c r="R161" s="1" t="str">
        <f t="shared" si="78"/>
        <v>N</v>
      </c>
      <c r="S161" s="1" t="str">
        <f t="shared" si="79"/>
        <v>N</v>
      </c>
      <c r="T161" s="1" t="str">
        <f t="shared" si="63"/>
        <v>N</v>
      </c>
      <c r="U161" s="1" t="str">
        <f t="shared" si="80"/>
        <v>N</v>
      </c>
      <c r="V161" s="1" t="str">
        <f t="shared" si="80"/>
        <v>N</v>
      </c>
      <c r="Y161" s="1" t="str">
        <f t="shared" si="64"/>
        <v>N</v>
      </c>
      <c r="Z161" s="1" t="str">
        <f t="shared" si="65"/>
        <v>N</v>
      </c>
      <c r="AA161" s="1" t="str">
        <f t="shared" si="66"/>
        <v>N</v>
      </c>
      <c r="AB161" s="1" t="str">
        <f t="shared" si="67"/>
        <v>N</v>
      </c>
      <c r="AC161" s="1" t="str">
        <f t="shared" si="68"/>
        <v>N</v>
      </c>
      <c r="AD161" s="1" t="str">
        <f t="shared" si="69"/>
        <v>N</v>
      </c>
      <c r="AE161" s="1" t="str">
        <f t="shared" si="70"/>
        <v>N</v>
      </c>
      <c r="AF161" s="1" t="str">
        <f t="shared" si="71"/>
        <v>N</v>
      </c>
      <c r="AG161" s="1" t="str">
        <f t="shared" si="72"/>
        <v>N</v>
      </c>
      <c r="AH161" s="1" t="str">
        <f t="shared" si="73"/>
        <v>N</v>
      </c>
    </row>
    <row r="162" spans="1:34" x14ac:dyDescent="0.3">
      <c r="A162" s="1" t="s">
        <v>327</v>
      </c>
      <c r="B162" s="1" t="s">
        <v>6</v>
      </c>
      <c r="C162" s="7" t="s">
        <v>370</v>
      </c>
      <c r="D162" s="7" t="s">
        <v>371</v>
      </c>
      <c r="E162" s="7">
        <v>53.696590436847998</v>
      </c>
      <c r="F162" s="7" t="s">
        <v>372</v>
      </c>
      <c r="G162" s="7">
        <v>283.56545549921299</v>
      </c>
      <c r="H162" s="7">
        <v>282.97151241390998</v>
      </c>
      <c r="I162" s="7" t="s">
        <v>375</v>
      </c>
      <c r="J162" s="7" t="s">
        <v>376</v>
      </c>
      <c r="K162" s="7" t="s">
        <v>377</v>
      </c>
      <c r="M162" s="1" t="str">
        <f t="shared" si="62"/>
        <v>N</v>
      </c>
      <c r="N162" s="1" t="str">
        <f t="shared" si="74"/>
        <v>N</v>
      </c>
      <c r="O162" s="1" t="str">
        <f t="shared" si="75"/>
        <v>N</v>
      </c>
      <c r="P162" s="1" t="str">
        <f t="shared" si="76"/>
        <v>N</v>
      </c>
      <c r="Q162" s="1" t="str">
        <f t="shared" si="77"/>
        <v>Y</v>
      </c>
      <c r="R162" s="1" t="str">
        <f t="shared" si="78"/>
        <v>N</v>
      </c>
      <c r="S162" s="1" t="str">
        <f t="shared" si="79"/>
        <v>N</v>
      </c>
      <c r="T162" s="1" t="str">
        <f t="shared" si="63"/>
        <v>N</v>
      </c>
      <c r="U162" s="1" t="str">
        <f t="shared" si="80"/>
        <v>N</v>
      </c>
      <c r="V162" s="1" t="str">
        <f t="shared" si="80"/>
        <v>N</v>
      </c>
      <c r="Y162" s="1" t="str">
        <f t="shared" si="64"/>
        <v>N</v>
      </c>
      <c r="Z162" s="1" t="str">
        <f t="shared" si="65"/>
        <v>N</v>
      </c>
      <c r="AA162" s="1" t="str">
        <f t="shared" si="66"/>
        <v>N</v>
      </c>
      <c r="AB162" s="1" t="str">
        <f t="shared" si="67"/>
        <v>N</v>
      </c>
      <c r="AC162" s="1" t="str">
        <f t="shared" si="68"/>
        <v>Y</v>
      </c>
      <c r="AD162" s="1" t="str">
        <f t="shared" si="69"/>
        <v>N</v>
      </c>
      <c r="AE162" s="1" t="str">
        <f t="shared" si="70"/>
        <v>N</v>
      </c>
      <c r="AF162" s="1" t="str">
        <f t="shared" si="71"/>
        <v>N</v>
      </c>
      <c r="AG162" s="1" t="str">
        <f t="shared" si="72"/>
        <v>N</v>
      </c>
      <c r="AH162" s="1" t="str">
        <f t="shared" si="73"/>
        <v>N</v>
      </c>
    </row>
    <row r="163" spans="1:34" x14ac:dyDescent="0.3">
      <c r="A163" s="1" t="s">
        <v>328</v>
      </c>
      <c r="B163" s="1" t="s">
        <v>157</v>
      </c>
      <c r="C163" s="7" t="s">
        <v>370</v>
      </c>
      <c r="D163" s="7" t="s">
        <v>371</v>
      </c>
      <c r="E163" s="7">
        <v>61.951645984202102</v>
      </c>
      <c r="F163" s="7" t="s">
        <v>372</v>
      </c>
      <c r="G163" s="7">
        <v>262.40362136574498</v>
      </c>
      <c r="H163" s="7" t="s">
        <v>374</v>
      </c>
      <c r="I163" s="7" t="s">
        <v>375</v>
      </c>
      <c r="J163" s="7" t="s">
        <v>376</v>
      </c>
      <c r="K163" s="7" t="s">
        <v>377</v>
      </c>
      <c r="M163" s="1" t="str">
        <f t="shared" si="62"/>
        <v>N</v>
      </c>
      <c r="N163" s="1" t="str">
        <f t="shared" si="74"/>
        <v>N</v>
      </c>
      <c r="O163" s="1" t="str">
        <f t="shared" si="75"/>
        <v>N</v>
      </c>
      <c r="P163" s="1" t="str">
        <f t="shared" si="76"/>
        <v>N</v>
      </c>
      <c r="Q163" s="1" t="str">
        <f t="shared" si="77"/>
        <v>Y</v>
      </c>
      <c r="R163" s="1" t="str">
        <f t="shared" si="78"/>
        <v>N</v>
      </c>
      <c r="S163" s="1" t="str">
        <f t="shared" si="79"/>
        <v>N</v>
      </c>
      <c r="T163" s="1" t="str">
        <f t="shared" si="63"/>
        <v>N</v>
      </c>
      <c r="U163" s="1" t="str">
        <f t="shared" si="80"/>
        <v>N</v>
      </c>
      <c r="V163" s="1" t="str">
        <f t="shared" si="80"/>
        <v>N</v>
      </c>
      <c r="Y163" s="1" t="str">
        <f t="shared" si="64"/>
        <v>N</v>
      </c>
      <c r="Z163" s="1" t="str">
        <f t="shared" si="65"/>
        <v>N</v>
      </c>
      <c r="AA163" s="1" t="str">
        <f t="shared" si="66"/>
        <v>N</v>
      </c>
      <c r="AB163" s="1" t="str">
        <f t="shared" si="67"/>
        <v>N</v>
      </c>
      <c r="AC163" s="1" t="str">
        <f t="shared" si="68"/>
        <v>Y</v>
      </c>
      <c r="AD163" s="1" t="str">
        <f t="shared" si="69"/>
        <v>N</v>
      </c>
      <c r="AE163" s="1" t="str">
        <f t="shared" si="70"/>
        <v>N</v>
      </c>
      <c r="AF163" s="1" t="str">
        <f t="shared" si="71"/>
        <v>N</v>
      </c>
      <c r="AG163" s="1" t="str">
        <f t="shared" si="72"/>
        <v>N</v>
      </c>
      <c r="AH163" s="1" t="str">
        <f t="shared" si="73"/>
        <v>N</v>
      </c>
    </row>
    <row r="164" spans="1:34" x14ac:dyDescent="0.3">
      <c r="A164" s="1" t="s">
        <v>329</v>
      </c>
      <c r="B164" s="1" t="s">
        <v>166</v>
      </c>
      <c r="C164" s="7" t="s">
        <v>370</v>
      </c>
      <c r="D164" s="7" t="s">
        <v>371</v>
      </c>
      <c r="E164" s="7">
        <v>13.3276499713046</v>
      </c>
      <c r="F164" s="7" t="s">
        <v>372</v>
      </c>
      <c r="G164" s="7" t="s">
        <v>373</v>
      </c>
      <c r="H164" s="7" t="s">
        <v>374</v>
      </c>
      <c r="I164" s="7" t="s">
        <v>375</v>
      </c>
      <c r="J164" s="7" t="s">
        <v>376</v>
      </c>
      <c r="K164" s="7" t="s">
        <v>377</v>
      </c>
      <c r="M164" s="1" t="str">
        <f t="shared" si="62"/>
        <v>N</v>
      </c>
      <c r="N164" s="1" t="str">
        <f t="shared" si="74"/>
        <v>N</v>
      </c>
      <c r="O164" s="1" t="str">
        <f t="shared" si="75"/>
        <v>N</v>
      </c>
      <c r="P164" s="1" t="str">
        <f t="shared" si="76"/>
        <v>N</v>
      </c>
      <c r="Q164" s="1" t="str">
        <f t="shared" si="77"/>
        <v>N</v>
      </c>
      <c r="R164" s="1" t="str">
        <f t="shared" si="78"/>
        <v>N</v>
      </c>
      <c r="S164" s="1" t="str">
        <f t="shared" si="79"/>
        <v>N</v>
      </c>
      <c r="T164" s="1" t="str">
        <f t="shared" si="63"/>
        <v>N</v>
      </c>
      <c r="U164" s="1" t="str">
        <f t="shared" si="80"/>
        <v>N</v>
      </c>
      <c r="V164" s="1" t="str">
        <f t="shared" si="80"/>
        <v>N</v>
      </c>
      <c r="Y164" s="1" t="str">
        <f t="shared" si="64"/>
        <v>N</v>
      </c>
      <c r="Z164" s="1" t="str">
        <f t="shared" si="65"/>
        <v>N</v>
      </c>
      <c r="AA164" s="1" t="str">
        <f t="shared" si="66"/>
        <v>N</v>
      </c>
      <c r="AB164" s="1" t="str">
        <f t="shared" si="67"/>
        <v>N</v>
      </c>
      <c r="AC164" s="1" t="str">
        <f t="shared" si="68"/>
        <v>N</v>
      </c>
      <c r="AD164" s="1" t="str">
        <f t="shared" si="69"/>
        <v>N</v>
      </c>
      <c r="AE164" s="1" t="str">
        <f t="shared" si="70"/>
        <v>N</v>
      </c>
      <c r="AF164" s="1" t="str">
        <f t="shared" si="71"/>
        <v>N</v>
      </c>
      <c r="AG164" s="1" t="str">
        <f t="shared" si="72"/>
        <v>N</v>
      </c>
      <c r="AH164" s="1" t="str">
        <f t="shared" si="73"/>
        <v>N</v>
      </c>
    </row>
    <row r="165" spans="1:34" x14ac:dyDescent="0.3">
      <c r="A165" s="1" t="s">
        <v>330</v>
      </c>
      <c r="B165" s="1" t="s">
        <v>9</v>
      </c>
      <c r="C165" s="7" t="s">
        <v>370</v>
      </c>
      <c r="D165" s="7" t="s">
        <v>371</v>
      </c>
      <c r="E165" s="7">
        <v>8.6514264441306903</v>
      </c>
      <c r="F165" s="7" t="s">
        <v>372</v>
      </c>
      <c r="G165" s="7">
        <v>20.807456253439799</v>
      </c>
      <c r="H165" s="7" t="s">
        <v>374</v>
      </c>
      <c r="I165" s="7" t="s">
        <v>375</v>
      </c>
      <c r="J165" s="7" t="s">
        <v>376</v>
      </c>
      <c r="K165" s="7" t="s">
        <v>377</v>
      </c>
      <c r="M165" s="1" t="str">
        <f t="shared" si="62"/>
        <v>N</v>
      </c>
      <c r="N165" s="1" t="str">
        <f t="shared" si="74"/>
        <v>N</v>
      </c>
      <c r="O165" s="1" t="str">
        <f t="shared" si="75"/>
        <v>N</v>
      </c>
      <c r="P165" s="1" t="str">
        <f t="shared" si="76"/>
        <v>N</v>
      </c>
      <c r="Q165" s="1" t="str">
        <f t="shared" si="77"/>
        <v>N</v>
      </c>
      <c r="R165" s="1" t="str">
        <f t="shared" si="78"/>
        <v>N</v>
      </c>
      <c r="S165" s="1" t="str">
        <f t="shared" si="79"/>
        <v>N</v>
      </c>
      <c r="T165" s="1" t="str">
        <f t="shared" si="63"/>
        <v>N</v>
      </c>
      <c r="U165" s="1" t="str">
        <f t="shared" si="80"/>
        <v>N</v>
      </c>
      <c r="V165" s="1" t="str">
        <f t="shared" si="80"/>
        <v>N</v>
      </c>
      <c r="Y165" s="1" t="str">
        <f t="shared" si="64"/>
        <v>N</v>
      </c>
      <c r="Z165" s="1" t="str">
        <f t="shared" si="65"/>
        <v>N</v>
      </c>
      <c r="AA165" s="1" t="str">
        <f t="shared" si="66"/>
        <v>N</v>
      </c>
      <c r="AB165" s="1" t="str">
        <f t="shared" si="67"/>
        <v>N</v>
      </c>
      <c r="AC165" s="1" t="str">
        <f t="shared" si="68"/>
        <v>N</v>
      </c>
      <c r="AD165" s="1" t="str">
        <f t="shared" si="69"/>
        <v>N</v>
      </c>
      <c r="AE165" s="1" t="str">
        <f t="shared" si="70"/>
        <v>N</v>
      </c>
      <c r="AF165" s="1" t="str">
        <f t="shared" si="71"/>
        <v>N</v>
      </c>
      <c r="AG165" s="1" t="str">
        <f t="shared" si="72"/>
        <v>N</v>
      </c>
      <c r="AH165" s="1" t="str">
        <f t="shared" si="73"/>
        <v>N</v>
      </c>
    </row>
    <row r="166" spans="1:34" x14ac:dyDescent="0.3">
      <c r="A166" s="1" t="s">
        <v>331</v>
      </c>
      <c r="B166" s="1" t="s">
        <v>152</v>
      </c>
      <c r="C166" s="7" t="s">
        <v>370</v>
      </c>
      <c r="D166" s="7" t="s">
        <v>371</v>
      </c>
      <c r="E166" s="7">
        <v>11.037809803711401</v>
      </c>
      <c r="F166" s="7" t="s">
        <v>372</v>
      </c>
      <c r="G166" s="7">
        <v>89.181146964146293</v>
      </c>
      <c r="H166" s="7" t="s">
        <v>374</v>
      </c>
      <c r="I166" s="7" t="s">
        <v>375</v>
      </c>
      <c r="J166" s="7" t="s">
        <v>376</v>
      </c>
      <c r="K166" s="7" t="s">
        <v>377</v>
      </c>
      <c r="M166" s="1" t="str">
        <f t="shared" si="62"/>
        <v>N</v>
      </c>
      <c r="N166" s="1" t="str">
        <f t="shared" si="74"/>
        <v>N</v>
      </c>
      <c r="O166" s="1" t="str">
        <f t="shared" si="75"/>
        <v>N</v>
      </c>
      <c r="P166" s="1" t="str">
        <f t="shared" si="76"/>
        <v>N</v>
      </c>
      <c r="Q166" s="1" t="str">
        <f t="shared" si="77"/>
        <v>Y</v>
      </c>
      <c r="R166" s="1" t="str">
        <f t="shared" si="78"/>
        <v>N</v>
      </c>
      <c r="S166" s="1" t="str">
        <f t="shared" si="79"/>
        <v>N</v>
      </c>
      <c r="T166" s="1" t="str">
        <f t="shared" si="63"/>
        <v>N</v>
      </c>
      <c r="U166" s="1" t="str">
        <f t="shared" si="80"/>
        <v>N</v>
      </c>
      <c r="V166" s="1" t="str">
        <f t="shared" si="80"/>
        <v>N</v>
      </c>
      <c r="Y166" s="1" t="str">
        <f t="shared" si="64"/>
        <v>N</v>
      </c>
      <c r="Z166" s="1" t="str">
        <f t="shared" si="65"/>
        <v>N</v>
      </c>
      <c r="AA166" s="1" t="str">
        <f t="shared" si="66"/>
        <v>N</v>
      </c>
      <c r="AB166" s="1" t="str">
        <f t="shared" si="67"/>
        <v>N</v>
      </c>
      <c r="AC166" s="1" t="str">
        <f t="shared" si="68"/>
        <v>Y</v>
      </c>
      <c r="AD166" s="1" t="str">
        <f t="shared" si="69"/>
        <v>N</v>
      </c>
      <c r="AE166" s="1" t="str">
        <f t="shared" si="70"/>
        <v>N</v>
      </c>
      <c r="AF166" s="1" t="str">
        <f t="shared" si="71"/>
        <v>N</v>
      </c>
      <c r="AG166" s="1" t="str">
        <f t="shared" si="72"/>
        <v>N</v>
      </c>
      <c r="AH166" s="1" t="str">
        <f t="shared" si="73"/>
        <v>N</v>
      </c>
    </row>
    <row r="167" spans="1:34" x14ac:dyDescent="0.3">
      <c r="A167" s="1" t="s">
        <v>332</v>
      </c>
      <c r="B167" s="1" t="s">
        <v>161</v>
      </c>
      <c r="C167" s="7" t="s">
        <v>370</v>
      </c>
      <c r="D167" s="7" t="s">
        <v>371</v>
      </c>
      <c r="E167" s="7">
        <v>5.4938922499248797</v>
      </c>
      <c r="F167" s="7" t="s">
        <v>372</v>
      </c>
      <c r="G167" s="7">
        <v>100.867278622523</v>
      </c>
      <c r="H167" s="7" t="s">
        <v>374</v>
      </c>
      <c r="I167" s="7" t="s">
        <v>375</v>
      </c>
      <c r="J167" s="7" t="s">
        <v>376</v>
      </c>
      <c r="K167" s="7" t="s">
        <v>377</v>
      </c>
      <c r="M167" s="1" t="str">
        <f t="shared" si="62"/>
        <v>N</v>
      </c>
      <c r="N167" s="1" t="str">
        <f t="shared" si="74"/>
        <v>N</v>
      </c>
      <c r="O167" s="1" t="str">
        <f t="shared" si="75"/>
        <v>N</v>
      </c>
      <c r="P167" s="1" t="str">
        <f t="shared" si="76"/>
        <v>N</v>
      </c>
      <c r="Q167" s="1" t="str">
        <f t="shared" si="77"/>
        <v>Y</v>
      </c>
      <c r="R167" s="1" t="str">
        <f t="shared" si="78"/>
        <v>N</v>
      </c>
      <c r="S167" s="1" t="str">
        <f t="shared" si="79"/>
        <v>N</v>
      </c>
      <c r="T167" s="1" t="str">
        <f t="shared" si="63"/>
        <v>N</v>
      </c>
      <c r="U167" s="1" t="str">
        <f t="shared" si="80"/>
        <v>N</v>
      </c>
      <c r="V167" s="1" t="str">
        <f t="shared" si="80"/>
        <v>N</v>
      </c>
      <c r="Y167" s="1" t="str">
        <f t="shared" si="64"/>
        <v>N</v>
      </c>
      <c r="Z167" s="1" t="str">
        <f t="shared" si="65"/>
        <v>N</v>
      </c>
      <c r="AA167" s="1" t="str">
        <f t="shared" si="66"/>
        <v>N</v>
      </c>
      <c r="AB167" s="1" t="str">
        <f t="shared" si="67"/>
        <v>N</v>
      </c>
      <c r="AC167" s="1" t="str">
        <f t="shared" si="68"/>
        <v>Y</v>
      </c>
      <c r="AD167" s="1" t="str">
        <f t="shared" si="69"/>
        <v>N</v>
      </c>
      <c r="AE167" s="1" t="str">
        <f t="shared" si="70"/>
        <v>N</v>
      </c>
      <c r="AF167" s="1" t="str">
        <f t="shared" si="71"/>
        <v>N</v>
      </c>
      <c r="AG167" s="1" t="str">
        <f t="shared" si="72"/>
        <v>N</v>
      </c>
      <c r="AH167" s="1" t="str">
        <f t="shared" si="73"/>
        <v>N</v>
      </c>
    </row>
    <row r="168" spans="1:34" x14ac:dyDescent="0.3">
      <c r="A168" s="1" t="s">
        <v>333</v>
      </c>
      <c r="B168" s="1" t="s">
        <v>167</v>
      </c>
      <c r="C168" s="7" t="s">
        <v>370</v>
      </c>
      <c r="D168" s="7" t="s">
        <v>371</v>
      </c>
      <c r="E168" s="7">
        <v>14.153695610663201</v>
      </c>
      <c r="F168" s="7" t="s">
        <v>372</v>
      </c>
      <c r="G168" s="7" t="s">
        <v>373</v>
      </c>
      <c r="H168" s="7" t="s">
        <v>374</v>
      </c>
      <c r="I168" s="7" t="s">
        <v>375</v>
      </c>
      <c r="J168" s="7" t="s">
        <v>376</v>
      </c>
      <c r="K168" s="7" t="s">
        <v>377</v>
      </c>
      <c r="M168" s="1" t="str">
        <f t="shared" si="62"/>
        <v>N</v>
      </c>
      <c r="N168" s="1" t="str">
        <f t="shared" si="74"/>
        <v>N</v>
      </c>
      <c r="O168" s="1" t="str">
        <f t="shared" si="75"/>
        <v>N</v>
      </c>
      <c r="P168" s="1" t="str">
        <f t="shared" si="76"/>
        <v>N</v>
      </c>
      <c r="Q168" s="1" t="str">
        <f t="shared" si="77"/>
        <v>N</v>
      </c>
      <c r="R168" s="1" t="str">
        <f t="shared" si="78"/>
        <v>N</v>
      </c>
      <c r="S168" s="1" t="str">
        <f t="shared" si="79"/>
        <v>N</v>
      </c>
      <c r="T168" s="1" t="str">
        <f t="shared" si="63"/>
        <v>N</v>
      </c>
      <c r="U168" s="1" t="str">
        <f t="shared" si="80"/>
        <v>N</v>
      </c>
      <c r="V168" s="1" t="str">
        <f t="shared" si="80"/>
        <v>N</v>
      </c>
      <c r="Y168" s="1" t="str">
        <f t="shared" si="64"/>
        <v>N</v>
      </c>
      <c r="Z168" s="1" t="str">
        <f t="shared" si="65"/>
        <v>N</v>
      </c>
      <c r="AA168" s="1" t="str">
        <f t="shared" si="66"/>
        <v>N</v>
      </c>
      <c r="AB168" s="1" t="str">
        <f t="shared" si="67"/>
        <v>N</v>
      </c>
      <c r="AC168" s="1" t="str">
        <f t="shared" si="68"/>
        <v>N</v>
      </c>
      <c r="AD168" s="1" t="str">
        <f t="shared" si="69"/>
        <v>N</v>
      </c>
      <c r="AE168" s="1" t="str">
        <f t="shared" si="70"/>
        <v>N</v>
      </c>
      <c r="AF168" s="1" t="str">
        <f t="shared" si="71"/>
        <v>N</v>
      </c>
      <c r="AG168" s="1" t="str">
        <f t="shared" si="72"/>
        <v>N</v>
      </c>
      <c r="AH168" s="1" t="str">
        <f t="shared" si="73"/>
        <v>N</v>
      </c>
    </row>
    <row r="169" spans="1:34" x14ac:dyDescent="0.3">
      <c r="A169" s="1" t="s">
        <v>334</v>
      </c>
      <c r="B169" s="1" t="s">
        <v>3</v>
      </c>
      <c r="C169" s="7" t="s">
        <v>370</v>
      </c>
      <c r="D169" s="7" t="s">
        <v>371</v>
      </c>
      <c r="E169" s="7">
        <v>26.7923383220832</v>
      </c>
      <c r="F169" s="7" t="s">
        <v>372</v>
      </c>
      <c r="G169" s="7" t="s">
        <v>373</v>
      </c>
      <c r="H169" s="7" t="s">
        <v>374</v>
      </c>
      <c r="I169" s="7" t="s">
        <v>375</v>
      </c>
      <c r="J169" s="7" t="s">
        <v>376</v>
      </c>
      <c r="K169" s="7" t="s">
        <v>377</v>
      </c>
      <c r="M169" s="1" t="str">
        <f t="shared" si="62"/>
        <v>N</v>
      </c>
      <c r="N169" s="1" t="str">
        <f t="shared" si="74"/>
        <v>N</v>
      </c>
      <c r="O169" s="1" t="str">
        <f t="shared" si="75"/>
        <v>N</v>
      </c>
      <c r="P169" s="1" t="str">
        <f t="shared" si="76"/>
        <v>N</v>
      </c>
      <c r="Q169" s="1" t="str">
        <f t="shared" si="77"/>
        <v>N</v>
      </c>
      <c r="R169" s="1" t="str">
        <f t="shared" si="78"/>
        <v>N</v>
      </c>
      <c r="S169" s="1" t="str">
        <f t="shared" si="79"/>
        <v>N</v>
      </c>
      <c r="T169" s="1" t="str">
        <f t="shared" si="63"/>
        <v>N</v>
      </c>
      <c r="U169" s="1" t="str">
        <f t="shared" si="80"/>
        <v>N</v>
      </c>
      <c r="V169" s="1" t="str">
        <f t="shared" si="80"/>
        <v>N</v>
      </c>
      <c r="Y169" s="1" t="str">
        <f t="shared" si="64"/>
        <v>N</v>
      </c>
      <c r="Z169" s="1" t="str">
        <f t="shared" si="65"/>
        <v>N</v>
      </c>
      <c r="AA169" s="1" t="str">
        <f t="shared" si="66"/>
        <v>N</v>
      </c>
      <c r="AB169" s="1" t="str">
        <f t="shared" si="67"/>
        <v>N</v>
      </c>
      <c r="AC169" s="1" t="str">
        <f t="shared" si="68"/>
        <v>N</v>
      </c>
      <c r="AD169" s="1" t="str">
        <f t="shared" si="69"/>
        <v>N</v>
      </c>
      <c r="AE169" s="1" t="str">
        <f t="shared" si="70"/>
        <v>N</v>
      </c>
      <c r="AF169" s="1" t="str">
        <f t="shared" si="71"/>
        <v>N</v>
      </c>
      <c r="AG169" s="1" t="str">
        <f t="shared" si="72"/>
        <v>N</v>
      </c>
      <c r="AH169" s="1" t="str">
        <f t="shared" si="73"/>
        <v>N</v>
      </c>
    </row>
    <row r="170" spans="1:34" x14ac:dyDescent="0.3">
      <c r="A170" s="1" t="s">
        <v>335</v>
      </c>
      <c r="B170" s="1" t="s">
        <v>8</v>
      </c>
      <c r="C170" s="7" t="s">
        <v>370</v>
      </c>
      <c r="D170" s="7" t="s">
        <v>371</v>
      </c>
      <c r="E170" s="7">
        <v>58.080034583593701</v>
      </c>
      <c r="F170" s="7" t="s">
        <v>372</v>
      </c>
      <c r="G170" s="7">
        <v>183.523488149061</v>
      </c>
      <c r="H170" s="7">
        <v>298.816737962248</v>
      </c>
      <c r="I170" s="7" t="s">
        <v>375</v>
      </c>
      <c r="J170" s="7" t="s">
        <v>376</v>
      </c>
      <c r="K170" s="7" t="s">
        <v>377</v>
      </c>
      <c r="M170" s="1" t="str">
        <f t="shared" si="62"/>
        <v>N</v>
      </c>
      <c r="N170" s="1" t="str">
        <f t="shared" si="74"/>
        <v>N</v>
      </c>
      <c r="O170" s="1" t="str">
        <f t="shared" si="75"/>
        <v>N</v>
      </c>
      <c r="P170" s="1" t="str">
        <f t="shared" si="76"/>
        <v>N</v>
      </c>
      <c r="Q170" s="1" t="str">
        <f t="shared" si="77"/>
        <v>Y</v>
      </c>
      <c r="R170" s="1" t="str">
        <f t="shared" si="78"/>
        <v>N</v>
      </c>
      <c r="S170" s="1" t="str">
        <f t="shared" si="79"/>
        <v>N</v>
      </c>
      <c r="T170" s="1" t="str">
        <f t="shared" si="63"/>
        <v>N</v>
      </c>
      <c r="U170" s="1" t="str">
        <f t="shared" si="80"/>
        <v>N</v>
      </c>
      <c r="V170" s="1" t="str">
        <f t="shared" si="80"/>
        <v>N</v>
      </c>
      <c r="Y170" s="1" t="str">
        <f t="shared" si="64"/>
        <v>N</v>
      </c>
      <c r="Z170" s="1" t="str">
        <f t="shared" si="65"/>
        <v>N</v>
      </c>
      <c r="AA170" s="1" t="str">
        <f t="shared" si="66"/>
        <v>N</v>
      </c>
      <c r="AB170" s="1" t="str">
        <f t="shared" si="67"/>
        <v>N</v>
      </c>
      <c r="AC170" s="1" t="str">
        <f t="shared" si="68"/>
        <v>Y</v>
      </c>
      <c r="AD170" s="1" t="str">
        <f t="shared" si="69"/>
        <v>N</v>
      </c>
      <c r="AE170" s="1" t="str">
        <f t="shared" si="70"/>
        <v>N</v>
      </c>
      <c r="AF170" s="1" t="str">
        <f t="shared" si="71"/>
        <v>N</v>
      </c>
      <c r="AG170" s="1" t="str">
        <f t="shared" si="72"/>
        <v>N</v>
      </c>
      <c r="AH170" s="1" t="str">
        <f t="shared" si="73"/>
        <v>N</v>
      </c>
    </row>
    <row r="171" spans="1:34" x14ac:dyDescent="0.3">
      <c r="A171" s="1" t="s">
        <v>336</v>
      </c>
      <c r="B171" s="1" t="s">
        <v>151</v>
      </c>
      <c r="C171" s="7" t="s">
        <v>370</v>
      </c>
      <c r="D171" s="7" t="s">
        <v>371</v>
      </c>
      <c r="E171" s="7">
        <v>19.6545234313154</v>
      </c>
      <c r="F171" s="7" t="s">
        <v>372</v>
      </c>
      <c r="G171" s="7">
        <v>174.48505085706401</v>
      </c>
      <c r="H171" s="7">
        <v>540.48147699506001</v>
      </c>
      <c r="I171" s="7" t="s">
        <v>375</v>
      </c>
      <c r="J171" s="7" t="s">
        <v>376</v>
      </c>
      <c r="K171" s="7" t="s">
        <v>377</v>
      </c>
      <c r="M171" s="1" t="str">
        <f t="shared" si="62"/>
        <v>N</v>
      </c>
      <c r="N171" s="1" t="str">
        <f t="shared" si="74"/>
        <v>N</v>
      </c>
      <c r="O171" s="1" t="str">
        <f t="shared" si="75"/>
        <v>N</v>
      </c>
      <c r="P171" s="1" t="str">
        <f t="shared" si="76"/>
        <v>N</v>
      </c>
      <c r="Q171" s="1" t="str">
        <f t="shared" si="77"/>
        <v>Y</v>
      </c>
      <c r="R171" s="1" t="str">
        <f t="shared" si="78"/>
        <v>Y</v>
      </c>
      <c r="S171" s="1" t="str">
        <f t="shared" si="79"/>
        <v>N</v>
      </c>
      <c r="T171" s="1" t="str">
        <f t="shared" si="63"/>
        <v>N</v>
      </c>
      <c r="U171" s="1" t="str">
        <f t="shared" si="80"/>
        <v>N</v>
      </c>
      <c r="V171" s="1" t="str">
        <f t="shared" si="80"/>
        <v>N</v>
      </c>
      <c r="Y171" s="1" t="str">
        <f t="shared" si="64"/>
        <v>N</v>
      </c>
      <c r="Z171" s="1" t="str">
        <f t="shared" si="65"/>
        <v>N</v>
      </c>
      <c r="AA171" s="1" t="str">
        <f t="shared" si="66"/>
        <v>N</v>
      </c>
      <c r="AB171" s="1" t="str">
        <f t="shared" si="67"/>
        <v>N</v>
      </c>
      <c r="AC171" s="1" t="str">
        <f t="shared" si="68"/>
        <v>Y</v>
      </c>
      <c r="AD171" s="1" t="str">
        <f t="shared" si="69"/>
        <v>N</v>
      </c>
      <c r="AE171" s="1" t="str">
        <f t="shared" si="70"/>
        <v>N</v>
      </c>
      <c r="AF171" s="1" t="str">
        <f t="shared" si="71"/>
        <v>N</v>
      </c>
      <c r="AG171" s="1" t="str">
        <f t="shared" si="72"/>
        <v>N</v>
      </c>
      <c r="AH171" s="1" t="str">
        <f t="shared" si="73"/>
        <v>N</v>
      </c>
    </row>
    <row r="172" spans="1:34" x14ac:dyDescent="0.3">
      <c r="A172" s="1" t="s">
        <v>337</v>
      </c>
      <c r="B172" s="1" t="s">
        <v>160</v>
      </c>
      <c r="C172" s="7" t="s">
        <v>370</v>
      </c>
      <c r="D172" s="7" t="s">
        <v>371</v>
      </c>
      <c r="E172" s="7">
        <v>45.902815849611898</v>
      </c>
      <c r="F172" s="7" t="s">
        <v>372</v>
      </c>
      <c r="G172" s="7" t="s">
        <v>373</v>
      </c>
      <c r="H172" s="7" t="s">
        <v>374</v>
      </c>
      <c r="I172" s="7" t="s">
        <v>375</v>
      </c>
      <c r="J172" s="7" t="s">
        <v>376</v>
      </c>
      <c r="K172" s="7" t="s">
        <v>377</v>
      </c>
      <c r="M172" s="1" t="str">
        <f t="shared" si="62"/>
        <v>N</v>
      </c>
      <c r="N172" s="1" t="str">
        <f t="shared" si="74"/>
        <v>N</v>
      </c>
      <c r="O172" s="1" t="str">
        <f t="shared" si="75"/>
        <v>N</v>
      </c>
      <c r="P172" s="1" t="str">
        <f t="shared" si="76"/>
        <v>N</v>
      </c>
      <c r="Q172" s="1" t="str">
        <f t="shared" si="77"/>
        <v>N</v>
      </c>
      <c r="R172" s="1" t="str">
        <f t="shared" si="78"/>
        <v>N</v>
      </c>
      <c r="S172" s="1" t="str">
        <f t="shared" si="79"/>
        <v>N</v>
      </c>
      <c r="T172" s="1" t="str">
        <f t="shared" si="63"/>
        <v>N</v>
      </c>
      <c r="U172" s="1" t="str">
        <f t="shared" si="80"/>
        <v>N</v>
      </c>
      <c r="V172" s="1" t="str">
        <f t="shared" si="80"/>
        <v>N</v>
      </c>
      <c r="Y172" s="1" t="str">
        <f t="shared" si="64"/>
        <v>N</v>
      </c>
      <c r="Z172" s="1" t="str">
        <f t="shared" si="65"/>
        <v>N</v>
      </c>
      <c r="AA172" s="1" t="str">
        <f t="shared" si="66"/>
        <v>N</v>
      </c>
      <c r="AB172" s="1" t="str">
        <f t="shared" si="67"/>
        <v>N</v>
      </c>
      <c r="AC172" s="1" t="str">
        <f t="shared" si="68"/>
        <v>N</v>
      </c>
      <c r="AD172" s="1" t="str">
        <f t="shared" si="69"/>
        <v>N</v>
      </c>
      <c r="AE172" s="1" t="str">
        <f t="shared" si="70"/>
        <v>N</v>
      </c>
      <c r="AF172" s="1" t="str">
        <f t="shared" si="71"/>
        <v>N</v>
      </c>
      <c r="AG172" s="1" t="str">
        <f t="shared" si="72"/>
        <v>N</v>
      </c>
      <c r="AH172" s="1" t="str">
        <f t="shared" si="73"/>
        <v>N</v>
      </c>
    </row>
    <row r="173" spans="1:34" x14ac:dyDescent="0.3">
      <c r="A173" s="1" t="s">
        <v>338</v>
      </c>
      <c r="B173" s="1" t="s">
        <v>2</v>
      </c>
      <c r="C173" s="7" t="s">
        <v>370</v>
      </c>
      <c r="D173" s="7" t="s">
        <v>371</v>
      </c>
      <c r="E173" s="7">
        <v>58.647753956769101</v>
      </c>
      <c r="F173" s="7" t="s">
        <v>372</v>
      </c>
      <c r="G173" s="7">
        <v>83.265102340000993</v>
      </c>
      <c r="H173" s="7">
        <v>2592.8411434913501</v>
      </c>
      <c r="I173" s="7" t="s">
        <v>375</v>
      </c>
      <c r="J173" s="7" t="s">
        <v>376</v>
      </c>
      <c r="K173" s="7" t="s">
        <v>377</v>
      </c>
      <c r="M173" s="1" t="str">
        <f t="shared" si="62"/>
        <v>N</v>
      </c>
      <c r="N173" s="1" t="str">
        <f t="shared" si="74"/>
        <v>N</v>
      </c>
      <c r="O173" s="1" t="str">
        <f t="shared" si="75"/>
        <v>N</v>
      </c>
      <c r="P173" s="1" t="str">
        <f t="shared" si="76"/>
        <v>N</v>
      </c>
      <c r="Q173" s="1" t="str">
        <f t="shared" si="77"/>
        <v>Y</v>
      </c>
      <c r="R173" s="1" t="str">
        <f t="shared" si="78"/>
        <v>Y</v>
      </c>
      <c r="S173" s="1" t="str">
        <f t="shared" si="79"/>
        <v>N</v>
      </c>
      <c r="T173" s="1" t="str">
        <f t="shared" si="63"/>
        <v>N</v>
      </c>
      <c r="U173" s="1" t="str">
        <f t="shared" si="80"/>
        <v>N</v>
      </c>
      <c r="V173" s="1" t="str">
        <f t="shared" si="80"/>
        <v>N</v>
      </c>
      <c r="Y173" s="1" t="str">
        <f t="shared" si="64"/>
        <v>N</v>
      </c>
      <c r="Z173" s="1" t="str">
        <f t="shared" si="65"/>
        <v>N</v>
      </c>
      <c r="AA173" s="1" t="str">
        <f t="shared" si="66"/>
        <v>N</v>
      </c>
      <c r="AB173" s="1" t="str">
        <f t="shared" si="67"/>
        <v>N</v>
      </c>
      <c r="AC173" s="1" t="str">
        <f t="shared" si="68"/>
        <v>Y</v>
      </c>
      <c r="AD173" s="1" t="str">
        <f t="shared" si="69"/>
        <v>N</v>
      </c>
      <c r="AE173" s="1" t="str">
        <f t="shared" si="70"/>
        <v>N</v>
      </c>
      <c r="AF173" s="1" t="str">
        <f t="shared" si="71"/>
        <v>N</v>
      </c>
      <c r="AG173" s="1" t="str">
        <f t="shared" si="72"/>
        <v>N</v>
      </c>
      <c r="AH173" s="1" t="str">
        <f t="shared" si="73"/>
        <v>N</v>
      </c>
    </row>
    <row r="174" spans="1:34" x14ac:dyDescent="0.3">
      <c r="A174" s="1" t="s">
        <v>339</v>
      </c>
      <c r="B174" s="1" t="s">
        <v>150</v>
      </c>
      <c r="C174" s="7" t="s">
        <v>370</v>
      </c>
      <c r="D174" s="7" t="s">
        <v>371</v>
      </c>
      <c r="E174" s="7">
        <v>82.909743437855994</v>
      </c>
      <c r="F174" s="7" t="s">
        <v>372</v>
      </c>
      <c r="G174" s="7">
        <v>74.025866694926904</v>
      </c>
      <c r="H174" s="7">
        <v>2341.4108251319199</v>
      </c>
      <c r="I174" s="7" t="s">
        <v>375</v>
      </c>
      <c r="J174" s="7" t="s">
        <v>376</v>
      </c>
      <c r="K174" s="7" t="s">
        <v>377</v>
      </c>
      <c r="M174" s="1" t="str">
        <f t="shared" si="62"/>
        <v>N</v>
      </c>
      <c r="N174" s="1" t="str">
        <f t="shared" si="74"/>
        <v>N</v>
      </c>
      <c r="O174" s="1" t="str">
        <f t="shared" si="75"/>
        <v>N</v>
      </c>
      <c r="P174" s="1" t="str">
        <f t="shared" si="76"/>
        <v>N</v>
      </c>
      <c r="Q174" s="1" t="str">
        <f t="shared" si="77"/>
        <v>Y</v>
      </c>
      <c r="R174" s="1" t="str">
        <f t="shared" si="78"/>
        <v>Y</v>
      </c>
      <c r="S174" s="1" t="str">
        <f t="shared" si="79"/>
        <v>N</v>
      </c>
      <c r="T174" s="1" t="str">
        <f t="shared" si="63"/>
        <v>N</v>
      </c>
      <c r="U174" s="1" t="str">
        <f t="shared" si="80"/>
        <v>N</v>
      </c>
      <c r="V174" s="1" t="str">
        <f t="shared" si="80"/>
        <v>N</v>
      </c>
      <c r="Y174" s="1" t="str">
        <f t="shared" si="64"/>
        <v>N</v>
      </c>
      <c r="Z174" s="1" t="str">
        <f t="shared" si="65"/>
        <v>N</v>
      </c>
      <c r="AA174" s="1" t="str">
        <f t="shared" si="66"/>
        <v>N</v>
      </c>
      <c r="AB174" s="1" t="str">
        <f t="shared" si="67"/>
        <v>N</v>
      </c>
      <c r="AC174" s="1" t="str">
        <f t="shared" si="68"/>
        <v>N</v>
      </c>
      <c r="AD174" s="1" t="str">
        <f t="shared" si="69"/>
        <v>N</v>
      </c>
      <c r="AE174" s="1" t="str">
        <f t="shared" si="70"/>
        <v>N</v>
      </c>
      <c r="AF174" s="1" t="str">
        <f t="shared" si="71"/>
        <v>N</v>
      </c>
      <c r="AG174" s="1" t="str">
        <f t="shared" si="72"/>
        <v>N</v>
      </c>
      <c r="AH174" s="1" t="str">
        <f t="shared" si="73"/>
        <v>N</v>
      </c>
    </row>
    <row r="175" spans="1:34" x14ac:dyDescent="0.3">
      <c r="A175" s="1" t="s">
        <v>340</v>
      </c>
      <c r="B175" s="1" t="s">
        <v>159</v>
      </c>
      <c r="C175" s="7" t="s">
        <v>370</v>
      </c>
      <c r="D175" s="7" t="s">
        <v>371</v>
      </c>
      <c r="E175" s="7">
        <v>34.677626498453897</v>
      </c>
      <c r="F175" s="7" t="s">
        <v>372</v>
      </c>
      <c r="G175" s="7" t="s">
        <v>373</v>
      </c>
      <c r="H175" s="7" t="s">
        <v>374</v>
      </c>
      <c r="I175" s="7" t="s">
        <v>375</v>
      </c>
      <c r="J175" s="7" t="s">
        <v>376</v>
      </c>
      <c r="K175" s="7" t="s">
        <v>377</v>
      </c>
      <c r="M175" s="1" t="str">
        <f t="shared" si="62"/>
        <v>N</v>
      </c>
      <c r="N175" s="1" t="str">
        <f t="shared" si="74"/>
        <v>N</v>
      </c>
      <c r="O175" s="1" t="str">
        <f t="shared" si="75"/>
        <v>N</v>
      </c>
      <c r="P175" s="1" t="str">
        <f t="shared" si="76"/>
        <v>N</v>
      </c>
      <c r="Q175" s="1" t="str">
        <f t="shared" si="77"/>
        <v>N</v>
      </c>
      <c r="R175" s="1" t="str">
        <f t="shared" si="78"/>
        <v>N</v>
      </c>
      <c r="S175" s="1" t="str">
        <f t="shared" si="79"/>
        <v>N</v>
      </c>
      <c r="T175" s="1" t="str">
        <f t="shared" si="63"/>
        <v>N</v>
      </c>
      <c r="U175" s="1" t="str">
        <f t="shared" si="80"/>
        <v>N</v>
      </c>
      <c r="V175" s="1" t="str">
        <f t="shared" si="80"/>
        <v>N</v>
      </c>
      <c r="Y175" s="1" t="str">
        <f t="shared" si="64"/>
        <v>N</v>
      </c>
      <c r="Z175" s="1" t="str">
        <f t="shared" si="65"/>
        <v>N</v>
      </c>
      <c r="AA175" s="1" t="str">
        <f t="shared" si="66"/>
        <v>N</v>
      </c>
      <c r="AB175" s="1" t="str">
        <f t="shared" si="67"/>
        <v>N</v>
      </c>
      <c r="AC175" s="1" t="str">
        <f t="shared" si="68"/>
        <v>N</v>
      </c>
      <c r="AD175" s="1" t="str">
        <f t="shared" si="69"/>
        <v>N</v>
      </c>
      <c r="AE175" s="1" t="str">
        <f t="shared" si="70"/>
        <v>N</v>
      </c>
      <c r="AF175" s="1" t="str">
        <f t="shared" si="71"/>
        <v>N</v>
      </c>
      <c r="AG175" s="1" t="str">
        <f t="shared" si="72"/>
        <v>N</v>
      </c>
      <c r="AH175" s="1" t="str">
        <f t="shared" si="73"/>
        <v>N</v>
      </c>
    </row>
    <row r="176" spans="1:34" x14ac:dyDescent="0.3">
      <c r="A176" s="1" t="s">
        <v>341</v>
      </c>
      <c r="B176" s="1" t="s">
        <v>1</v>
      </c>
      <c r="C176" s="7" t="s">
        <v>370</v>
      </c>
      <c r="D176" s="7" t="s">
        <v>371</v>
      </c>
      <c r="E176" s="7">
        <v>35.316433382178602</v>
      </c>
      <c r="F176" s="7" t="s">
        <v>372</v>
      </c>
      <c r="G176" s="7" t="s">
        <v>373</v>
      </c>
      <c r="H176" s="7" t="s">
        <v>374</v>
      </c>
      <c r="I176" s="7" t="s">
        <v>375</v>
      </c>
      <c r="J176" s="7" t="s">
        <v>376</v>
      </c>
      <c r="K176" s="7" t="s">
        <v>377</v>
      </c>
      <c r="M176" s="1" t="str">
        <f t="shared" si="62"/>
        <v>N</v>
      </c>
      <c r="N176" s="1" t="str">
        <f t="shared" si="74"/>
        <v>N</v>
      </c>
      <c r="O176" s="1" t="str">
        <f t="shared" si="75"/>
        <v>N</v>
      </c>
      <c r="P176" s="1" t="str">
        <f t="shared" si="76"/>
        <v>N</v>
      </c>
      <c r="Q176" s="1" t="str">
        <f t="shared" si="77"/>
        <v>N</v>
      </c>
      <c r="R176" s="1" t="str">
        <f t="shared" si="78"/>
        <v>N</v>
      </c>
      <c r="S176" s="1" t="str">
        <f t="shared" si="79"/>
        <v>N</v>
      </c>
      <c r="T176" s="1" t="str">
        <f t="shared" si="63"/>
        <v>N</v>
      </c>
      <c r="U176" s="1" t="str">
        <f t="shared" si="80"/>
        <v>N</v>
      </c>
      <c r="V176" s="1" t="str">
        <f t="shared" si="80"/>
        <v>N</v>
      </c>
      <c r="Y176" s="1" t="str">
        <f t="shared" si="64"/>
        <v>N</v>
      </c>
      <c r="Z176" s="1" t="str">
        <f t="shared" si="65"/>
        <v>N</v>
      </c>
      <c r="AA176" s="1" t="str">
        <f t="shared" si="66"/>
        <v>N</v>
      </c>
      <c r="AB176" s="1" t="str">
        <f t="shared" si="67"/>
        <v>N</v>
      </c>
      <c r="AC176" s="1" t="str">
        <f t="shared" si="68"/>
        <v>N</v>
      </c>
      <c r="AD176" s="1" t="str">
        <f t="shared" si="69"/>
        <v>N</v>
      </c>
      <c r="AE176" s="1" t="str">
        <f t="shared" si="70"/>
        <v>N</v>
      </c>
      <c r="AF176" s="1" t="str">
        <f t="shared" si="71"/>
        <v>N</v>
      </c>
      <c r="AG176" s="1" t="str">
        <f t="shared" si="72"/>
        <v>N</v>
      </c>
      <c r="AH176" s="1" t="str">
        <f t="shared" si="73"/>
        <v>N</v>
      </c>
    </row>
    <row r="177" spans="1:34" x14ac:dyDescent="0.3">
      <c r="A177" s="1" t="s">
        <v>342</v>
      </c>
      <c r="B177" s="1" t="s">
        <v>149</v>
      </c>
      <c r="C177" s="7" t="s">
        <v>370</v>
      </c>
      <c r="D177" s="7" t="s">
        <v>371</v>
      </c>
      <c r="E177" s="7">
        <v>46.076195098524998</v>
      </c>
      <c r="F177" s="7" t="s">
        <v>372</v>
      </c>
      <c r="G177" s="7">
        <v>5.6375591917448897</v>
      </c>
      <c r="H177" s="7">
        <v>36.932544156335098</v>
      </c>
      <c r="I177" s="7" t="s">
        <v>375</v>
      </c>
      <c r="J177" s="7" t="s">
        <v>376</v>
      </c>
      <c r="K177" s="7" t="s">
        <v>377</v>
      </c>
      <c r="M177" s="1" t="str">
        <f t="shared" si="62"/>
        <v>N</v>
      </c>
      <c r="N177" s="1" t="str">
        <f t="shared" si="74"/>
        <v>N</v>
      </c>
      <c r="O177" s="1" t="str">
        <f t="shared" si="75"/>
        <v>N</v>
      </c>
      <c r="P177" s="1" t="str">
        <f t="shared" si="76"/>
        <v>N</v>
      </c>
      <c r="Q177" s="1" t="str">
        <f t="shared" si="77"/>
        <v>N</v>
      </c>
      <c r="R177" s="1" t="str">
        <f t="shared" si="78"/>
        <v>N</v>
      </c>
      <c r="S177" s="1" t="str">
        <f t="shared" si="79"/>
        <v>N</v>
      </c>
      <c r="T177" s="1" t="str">
        <f t="shared" si="63"/>
        <v>N</v>
      </c>
      <c r="U177" s="1" t="str">
        <f t="shared" si="80"/>
        <v>N</v>
      </c>
      <c r="V177" s="1" t="str">
        <f t="shared" si="80"/>
        <v>N</v>
      </c>
      <c r="Y177" s="1" t="str">
        <f t="shared" si="64"/>
        <v>N</v>
      </c>
      <c r="Z177" s="1" t="str">
        <f t="shared" si="65"/>
        <v>N</v>
      </c>
      <c r="AA177" s="1" t="str">
        <f t="shared" si="66"/>
        <v>N</v>
      </c>
      <c r="AB177" s="1" t="str">
        <f t="shared" si="67"/>
        <v>N</v>
      </c>
      <c r="AC177" s="1" t="str">
        <f t="shared" si="68"/>
        <v>N</v>
      </c>
      <c r="AD177" s="1" t="str">
        <f t="shared" si="69"/>
        <v>N</v>
      </c>
      <c r="AE177" s="1" t="str">
        <f t="shared" si="70"/>
        <v>N</v>
      </c>
      <c r="AF177" s="1" t="str">
        <f t="shared" si="71"/>
        <v>N</v>
      </c>
      <c r="AG177" s="1" t="str">
        <f t="shared" si="72"/>
        <v>N</v>
      </c>
      <c r="AH177" s="1" t="str">
        <f t="shared" si="73"/>
        <v>N</v>
      </c>
    </row>
    <row r="178" spans="1:34" x14ac:dyDescent="0.3">
      <c r="A178" s="1" t="s">
        <v>343</v>
      </c>
      <c r="B178" s="1" t="s">
        <v>158</v>
      </c>
      <c r="C178" s="7" t="s">
        <v>370</v>
      </c>
      <c r="D178" s="7" t="s">
        <v>371</v>
      </c>
      <c r="E178" s="7">
        <v>24.8231459763395</v>
      </c>
      <c r="F178" s="7" t="s">
        <v>372</v>
      </c>
      <c r="G178" s="7">
        <v>29.024189473579501</v>
      </c>
      <c r="H178" s="7">
        <v>163.701280284859</v>
      </c>
      <c r="I178" s="7" t="s">
        <v>375</v>
      </c>
      <c r="J178" s="7" t="s">
        <v>376</v>
      </c>
      <c r="K178" s="7" t="s">
        <v>377</v>
      </c>
      <c r="M178" s="1" t="str">
        <f t="shared" si="62"/>
        <v>N</v>
      </c>
      <c r="N178" s="1" t="str">
        <f t="shared" si="74"/>
        <v>N</v>
      </c>
      <c r="O178" s="1" t="str">
        <f t="shared" si="75"/>
        <v>N</v>
      </c>
      <c r="P178" s="1" t="str">
        <f t="shared" si="76"/>
        <v>N</v>
      </c>
      <c r="Q178" s="1" t="str">
        <f t="shared" si="77"/>
        <v>N</v>
      </c>
      <c r="R178" s="1" t="str">
        <f t="shared" si="78"/>
        <v>N</v>
      </c>
      <c r="S178" s="1" t="str">
        <f t="shared" si="79"/>
        <v>N</v>
      </c>
      <c r="T178" s="1" t="str">
        <f t="shared" si="63"/>
        <v>N</v>
      </c>
      <c r="U178" s="1" t="str">
        <f t="shared" si="80"/>
        <v>N</v>
      </c>
      <c r="V178" s="1" t="str">
        <f t="shared" si="80"/>
        <v>N</v>
      </c>
      <c r="Y178" s="1" t="str">
        <f t="shared" si="64"/>
        <v>N</v>
      </c>
      <c r="Z178" s="1" t="str">
        <f t="shared" si="65"/>
        <v>N</v>
      </c>
      <c r="AA178" s="1" t="str">
        <f t="shared" si="66"/>
        <v>N</v>
      </c>
      <c r="AB178" s="1" t="str">
        <f t="shared" si="67"/>
        <v>N</v>
      </c>
      <c r="AC178" s="1" t="str">
        <f t="shared" si="68"/>
        <v>N</v>
      </c>
      <c r="AD178" s="1" t="str">
        <f t="shared" si="69"/>
        <v>N</v>
      </c>
      <c r="AE178" s="1" t="str">
        <f t="shared" si="70"/>
        <v>N</v>
      </c>
      <c r="AF178" s="1" t="str">
        <f t="shared" si="71"/>
        <v>N</v>
      </c>
      <c r="AG178" s="1" t="str">
        <f t="shared" si="72"/>
        <v>N</v>
      </c>
      <c r="AH178" s="1" t="str">
        <f t="shared" si="73"/>
        <v>N</v>
      </c>
    </row>
    <row r="179" spans="1:34" x14ac:dyDescent="0.3">
      <c r="A179" s="1" t="s">
        <v>344</v>
      </c>
      <c r="B179" s="1" t="s">
        <v>146</v>
      </c>
      <c r="C179" s="7" t="s">
        <v>370</v>
      </c>
      <c r="D179" s="7" t="s">
        <v>371</v>
      </c>
      <c r="E179" s="7">
        <v>48.253498454232499</v>
      </c>
      <c r="F179" s="7" t="s">
        <v>372</v>
      </c>
      <c r="G179" s="7">
        <v>24.536732106289602</v>
      </c>
      <c r="H179" s="7">
        <v>96.044973866429103</v>
      </c>
      <c r="I179" s="7" t="s">
        <v>375</v>
      </c>
      <c r="J179" s="7" t="s">
        <v>376</v>
      </c>
      <c r="K179" s="7" t="s">
        <v>377</v>
      </c>
      <c r="M179" s="1" t="str">
        <f t="shared" si="62"/>
        <v>N</v>
      </c>
      <c r="N179" s="1" t="str">
        <f t="shared" si="74"/>
        <v>N</v>
      </c>
      <c r="O179" s="1" t="str">
        <f t="shared" si="75"/>
        <v>N</v>
      </c>
      <c r="P179" s="1" t="str">
        <f t="shared" si="76"/>
        <v>N</v>
      </c>
      <c r="Q179" s="1" t="str">
        <f t="shared" si="77"/>
        <v>N</v>
      </c>
      <c r="R179" s="1" t="str">
        <f t="shared" si="78"/>
        <v>N</v>
      </c>
      <c r="S179" s="1" t="str">
        <f t="shared" si="79"/>
        <v>N</v>
      </c>
      <c r="T179" s="1" t="str">
        <f t="shared" si="63"/>
        <v>N</v>
      </c>
      <c r="U179" s="1" t="str">
        <f t="shared" si="80"/>
        <v>N</v>
      </c>
      <c r="V179" s="1" t="str">
        <f t="shared" si="80"/>
        <v>N</v>
      </c>
      <c r="Y179" s="1" t="str">
        <f t="shared" si="64"/>
        <v>N</v>
      </c>
      <c r="Z179" s="1" t="str">
        <f t="shared" si="65"/>
        <v>N</v>
      </c>
      <c r="AA179" s="1" t="str">
        <f t="shared" si="66"/>
        <v>N</v>
      </c>
      <c r="AB179" s="1" t="str">
        <f t="shared" si="67"/>
        <v>N</v>
      </c>
      <c r="AC179" s="1" t="str">
        <f t="shared" si="68"/>
        <v>N</v>
      </c>
      <c r="AD179" s="1" t="str">
        <f t="shared" si="69"/>
        <v>N</v>
      </c>
      <c r="AE179" s="1" t="str">
        <f t="shared" si="70"/>
        <v>N</v>
      </c>
      <c r="AF179" s="1" t="str">
        <f t="shared" si="71"/>
        <v>N</v>
      </c>
      <c r="AG179" s="1" t="str">
        <f t="shared" si="72"/>
        <v>N</v>
      </c>
      <c r="AH179" s="1" t="str">
        <f t="shared" si="73"/>
        <v>N</v>
      </c>
    </row>
    <row r="180" spans="1:34" x14ac:dyDescent="0.3">
      <c r="A180" s="1" t="s">
        <v>345</v>
      </c>
      <c r="B180" s="1" t="s">
        <v>0</v>
      </c>
      <c r="C180" s="7" t="s">
        <v>370</v>
      </c>
      <c r="D180" s="7" t="s">
        <v>371</v>
      </c>
      <c r="E180" s="7">
        <v>32.605429702136</v>
      </c>
      <c r="F180" s="7" t="s">
        <v>372</v>
      </c>
      <c r="G180" s="7" t="s">
        <v>373</v>
      </c>
      <c r="H180" s="7" t="s">
        <v>374</v>
      </c>
      <c r="I180" s="7" t="s">
        <v>375</v>
      </c>
      <c r="J180" s="7" t="s">
        <v>376</v>
      </c>
      <c r="K180" s="7" t="s">
        <v>377</v>
      </c>
      <c r="M180" s="1" t="str">
        <f t="shared" si="62"/>
        <v>N</v>
      </c>
      <c r="N180" s="1" t="str">
        <f t="shared" si="74"/>
        <v>N</v>
      </c>
      <c r="O180" s="1" t="str">
        <f t="shared" si="75"/>
        <v>N</v>
      </c>
      <c r="P180" s="1" t="str">
        <f t="shared" si="76"/>
        <v>N</v>
      </c>
      <c r="Q180" s="1" t="str">
        <f t="shared" si="77"/>
        <v>N</v>
      </c>
      <c r="R180" s="1" t="str">
        <f t="shared" si="78"/>
        <v>N</v>
      </c>
      <c r="S180" s="1" t="str">
        <f t="shared" si="79"/>
        <v>N</v>
      </c>
      <c r="T180" s="1" t="str">
        <f t="shared" si="63"/>
        <v>N</v>
      </c>
      <c r="U180" s="1" t="str">
        <f t="shared" si="80"/>
        <v>N</v>
      </c>
      <c r="V180" s="1" t="str">
        <f t="shared" si="80"/>
        <v>N</v>
      </c>
      <c r="Y180" s="1" t="str">
        <f t="shared" si="64"/>
        <v>N</v>
      </c>
      <c r="Z180" s="1" t="str">
        <f t="shared" si="65"/>
        <v>N</v>
      </c>
      <c r="AA180" s="1" t="str">
        <f t="shared" si="66"/>
        <v>N</v>
      </c>
      <c r="AB180" s="1" t="str">
        <f t="shared" si="67"/>
        <v>N</v>
      </c>
      <c r="AC180" s="1" t="str">
        <f t="shared" si="68"/>
        <v>N</v>
      </c>
      <c r="AD180" s="1" t="str">
        <f t="shared" si="69"/>
        <v>N</v>
      </c>
      <c r="AE180" s="1" t="str">
        <f t="shared" si="70"/>
        <v>N</v>
      </c>
      <c r="AF180" s="1" t="str">
        <f t="shared" si="71"/>
        <v>N</v>
      </c>
      <c r="AG180" s="1" t="str">
        <f t="shared" si="72"/>
        <v>N</v>
      </c>
      <c r="AH180" s="1" t="str">
        <f t="shared" si="73"/>
        <v>N</v>
      </c>
    </row>
    <row r="181" spans="1:34" x14ac:dyDescent="0.3">
      <c r="A181" s="1" t="s">
        <v>378</v>
      </c>
      <c r="B181" s="1" t="s">
        <v>379</v>
      </c>
      <c r="C181" s="7" t="s">
        <v>370</v>
      </c>
      <c r="D181" s="7" t="s">
        <v>371</v>
      </c>
      <c r="E181" s="7">
        <v>15.739513930661399</v>
      </c>
      <c r="F181" s="7" t="s">
        <v>372</v>
      </c>
      <c r="G181" s="7" t="s">
        <v>373</v>
      </c>
      <c r="H181" s="7" t="s">
        <v>374</v>
      </c>
      <c r="I181" s="7" t="s">
        <v>375</v>
      </c>
      <c r="J181" s="7" t="s">
        <v>376</v>
      </c>
      <c r="K181" s="7" t="s">
        <v>377</v>
      </c>
      <c r="M181" s="1" t="str">
        <f t="shared" si="62"/>
        <v>N</v>
      </c>
      <c r="N181" s="1" t="str">
        <f t="shared" si="74"/>
        <v>N</v>
      </c>
      <c r="O181" s="1" t="str">
        <f t="shared" si="75"/>
        <v>N</v>
      </c>
      <c r="P181" s="1" t="str">
        <f t="shared" si="76"/>
        <v>N</v>
      </c>
      <c r="Q181" s="1" t="str">
        <f t="shared" si="77"/>
        <v>N</v>
      </c>
      <c r="R181" s="1" t="str">
        <f t="shared" si="78"/>
        <v>N</v>
      </c>
      <c r="S181" s="1" t="str">
        <f t="shared" si="79"/>
        <v>N</v>
      </c>
      <c r="T181" s="1" t="str">
        <f t="shared" si="63"/>
        <v>N</v>
      </c>
      <c r="U181" s="1" t="str">
        <f t="shared" si="80"/>
        <v>N</v>
      </c>
      <c r="V181" s="1" t="str">
        <f t="shared" si="80"/>
        <v>N</v>
      </c>
      <c r="Y181" s="1" t="str">
        <f t="shared" si="64"/>
        <v>N</v>
      </c>
      <c r="Z181" s="1" t="str">
        <f t="shared" si="65"/>
        <v>N</v>
      </c>
      <c r="AA181" s="1" t="str">
        <f t="shared" si="66"/>
        <v>N</v>
      </c>
      <c r="AB181" s="1" t="str">
        <f t="shared" si="67"/>
        <v>N</v>
      </c>
      <c r="AC181" s="1" t="str">
        <f t="shared" si="68"/>
        <v>N</v>
      </c>
      <c r="AD181" s="1" t="str">
        <f t="shared" si="69"/>
        <v>N</v>
      </c>
      <c r="AE181" s="1" t="str">
        <f t="shared" si="70"/>
        <v>N</v>
      </c>
      <c r="AF181" s="1" t="str">
        <f t="shared" si="71"/>
        <v>N</v>
      </c>
      <c r="AG181" s="1" t="str">
        <f t="shared" si="72"/>
        <v>N</v>
      </c>
      <c r="AH181" s="1" t="str">
        <f t="shared" si="73"/>
        <v>N</v>
      </c>
    </row>
  </sheetData>
  <sortState xmlns:xlrd2="http://schemas.microsoft.com/office/spreadsheetml/2017/richdata2" ref="B5:B181">
    <sortCondition ref="B4:B181"/>
  </sortState>
  <mergeCells count="2">
    <mergeCell ref="Y1:AH1"/>
    <mergeCell ref="M1:V1"/>
  </mergeCells>
  <phoneticPr fontId="0" type="noConversion"/>
  <conditionalFormatting sqref="A2:K2 W2:W3 AI2:XFD1048576 A3:L4 X3:X4 M4:W4 Y4:AH4 A5:AH181 A182:T1048576 V182:AF1048576 AH182:AH1048576">
    <cfRule type="containsText" dxfId="4" priority="7" operator="containsText" text="&lt;">
      <formula>NOT(ISERROR(SEARCH("&lt;",A2)))</formula>
    </cfRule>
  </conditionalFormatting>
  <conditionalFormatting sqref="M2:V2">
    <cfRule type="containsText" dxfId="3" priority="5" operator="containsText" text="&lt;">
      <formula>NOT(ISERROR(SEARCH("&lt;",M2)))</formula>
    </cfRule>
  </conditionalFormatting>
  <conditionalFormatting sqref="M5:V181">
    <cfRule type="containsText" dxfId="2" priority="4" operator="containsText" text="Y">
      <formula>NOT(ISERROR(SEARCH("Y",M5)))</formula>
    </cfRule>
  </conditionalFormatting>
  <conditionalFormatting sqref="Y2:AH2">
    <cfRule type="containsText" dxfId="1" priority="2" operator="containsText" text="&lt;">
      <formula>NOT(ISERROR(SEARCH("&lt;",Y2)))</formula>
    </cfRule>
  </conditionalFormatting>
  <conditionalFormatting sqref="Y5:AH181">
    <cfRule type="containsText" dxfId="0" priority="1" operator="containsText" text="Y">
      <formula>NOT(ISERROR(SEARCH("Y",Y5)))</formula>
    </cfRule>
  </conditionalFormatting>
  <pageMargins left="0.75" right="0.75" top="1" bottom="1" header="0.5" footer="0.5"/>
  <pageSetup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6" id="{65419775-14E1-43F0-BC52-964A6C4FE55B}">
            <x14:iconSet custom="1">
              <x14:cfvo type="percent">
                <xm:f>0</xm:f>
              </x14:cfvo>
              <x14:cfvo type="percent">
                <xm:f>33</xm:f>
              </x14:cfvo>
              <x14:cfvo type="percent">
                <xm:f>$M$2</xm:f>
              </x14:cfvo>
              <x14:cfIcon iconSet="3TrafficLights1" iconId="2"/>
              <x14:cfIcon iconSet="3TrafficLights1" iconId="2"/>
              <x14:cfIcon iconSet="3TrafficLights1" iconId="0"/>
            </x14:iconSet>
          </x14:cfRule>
          <xm:sqref>M2</xm:sqref>
        </x14:conditionalFormatting>
        <x14:conditionalFormatting xmlns:xm="http://schemas.microsoft.com/office/excel/2006/main">
          <x14:cfRule type="iconSet" priority="3" id="{0047EF53-1F55-48BF-87BD-FA36FC69295B}">
            <x14:iconSet custom="1">
              <x14:cfvo type="percent">
                <xm:f>0</xm:f>
              </x14:cfvo>
              <x14:cfvo type="percent">
                <xm:f>33</xm:f>
              </x14:cfvo>
              <x14:cfvo type="percent">
                <xm:f>$M$2</xm:f>
              </x14:cfvo>
              <x14:cfIcon iconSet="3TrafficLights1" iconId="2"/>
              <x14:cfIcon iconSet="3TrafficLights1" iconId="2"/>
              <x14:cfIcon iconSet="3TrafficLights1" iconId="0"/>
            </x14:iconSet>
          </x14:cfRule>
          <xm:sqref>Y2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5C38-2C46-460A-B3A0-9E9AD51711DE}">
  <dimension ref="M2:V34"/>
  <sheetViews>
    <sheetView workbookViewId="0">
      <selection activeCell="M2" sqref="M2:V10"/>
    </sheetView>
  </sheetViews>
  <sheetFormatPr defaultRowHeight="13.2" x14ac:dyDescent="0.25"/>
  <sheetData>
    <row r="2" spans="13:22" x14ac:dyDescent="0.25">
      <c r="M2" s="12" t="s">
        <v>171</v>
      </c>
      <c r="N2" s="12"/>
      <c r="O2" s="12"/>
      <c r="P2" s="12"/>
      <c r="Q2" s="12"/>
      <c r="R2" s="12"/>
      <c r="S2" s="12"/>
      <c r="T2" s="12"/>
      <c r="U2" s="12"/>
      <c r="V2" s="12"/>
    </row>
    <row r="3" spans="13:22" ht="23.4" customHeight="1" x14ac:dyDescent="0.25">
      <c r="M3" s="12"/>
      <c r="N3" s="12"/>
      <c r="O3" s="12"/>
      <c r="P3" s="12"/>
      <c r="Q3" s="12"/>
      <c r="R3" s="12"/>
      <c r="S3" s="12"/>
      <c r="T3" s="12"/>
      <c r="U3" s="12"/>
      <c r="V3" s="12"/>
    </row>
    <row r="4" spans="13:22" x14ac:dyDescent="0.25">
      <c r="M4" s="12"/>
      <c r="N4" s="12"/>
      <c r="O4" s="12"/>
      <c r="P4" s="12"/>
      <c r="Q4" s="12"/>
      <c r="R4" s="12"/>
      <c r="S4" s="12"/>
      <c r="T4" s="12"/>
      <c r="U4" s="12"/>
      <c r="V4" s="12"/>
    </row>
    <row r="5" spans="13:22" x14ac:dyDescent="0.25">
      <c r="M5" s="12"/>
      <c r="N5" s="12"/>
      <c r="O5" s="12"/>
      <c r="P5" s="12"/>
      <c r="Q5" s="12"/>
      <c r="R5" s="12"/>
      <c r="S5" s="12"/>
      <c r="T5" s="12"/>
      <c r="U5" s="12"/>
      <c r="V5" s="12"/>
    </row>
    <row r="6" spans="13:22" x14ac:dyDescent="0.25">
      <c r="M6" s="12"/>
      <c r="N6" s="12"/>
      <c r="O6" s="12"/>
      <c r="P6" s="12"/>
      <c r="Q6" s="12"/>
      <c r="R6" s="12"/>
      <c r="S6" s="12"/>
      <c r="T6" s="12"/>
      <c r="U6" s="12"/>
      <c r="V6" s="12"/>
    </row>
    <row r="7" spans="13:22" x14ac:dyDescent="0.25">
      <c r="M7" s="12"/>
      <c r="N7" s="12"/>
      <c r="O7" s="12"/>
      <c r="P7" s="12"/>
      <c r="Q7" s="12"/>
      <c r="R7" s="12"/>
      <c r="S7" s="12"/>
      <c r="T7" s="12"/>
      <c r="U7" s="12"/>
      <c r="V7" s="12"/>
    </row>
    <row r="8" spans="13:22" x14ac:dyDescent="0.25">
      <c r="M8" s="12"/>
      <c r="N8" s="12"/>
      <c r="O8" s="12"/>
      <c r="P8" s="12"/>
      <c r="Q8" s="12"/>
      <c r="R8" s="12"/>
      <c r="S8" s="12"/>
      <c r="T8" s="12"/>
      <c r="U8" s="12"/>
      <c r="V8" s="12"/>
    </row>
    <row r="9" spans="13:22" x14ac:dyDescent="0.25">
      <c r="M9" s="12"/>
      <c r="N9" s="12"/>
      <c r="O9" s="12"/>
      <c r="P9" s="12"/>
      <c r="Q9" s="12"/>
      <c r="R9" s="12"/>
      <c r="S9" s="12"/>
      <c r="T9" s="12"/>
      <c r="U9" s="12"/>
      <c r="V9" s="12"/>
    </row>
    <row r="10" spans="13:22" x14ac:dyDescent="0.25">
      <c r="M10" s="12"/>
      <c r="N10" s="12"/>
      <c r="O10" s="12"/>
      <c r="P10" s="12"/>
      <c r="Q10" s="12"/>
      <c r="R10" s="12"/>
      <c r="S10" s="12"/>
      <c r="T10" s="12"/>
      <c r="U10" s="12"/>
      <c r="V10" s="12"/>
    </row>
    <row r="11" spans="13:22" x14ac:dyDescent="0.25">
      <c r="M11" s="12" t="s">
        <v>170</v>
      </c>
      <c r="N11" s="12"/>
      <c r="O11" s="12"/>
      <c r="P11" s="12"/>
      <c r="Q11" s="12"/>
      <c r="R11" s="12"/>
      <c r="S11" s="12"/>
      <c r="T11" s="12"/>
      <c r="U11" s="12"/>
      <c r="V11" s="12"/>
    </row>
    <row r="12" spans="13:22" x14ac:dyDescent="0.25">
      <c r="M12" s="12"/>
      <c r="N12" s="12"/>
      <c r="O12" s="12"/>
      <c r="P12" s="12"/>
      <c r="Q12" s="12"/>
      <c r="R12" s="12"/>
      <c r="S12" s="12"/>
      <c r="T12" s="12"/>
      <c r="U12" s="12"/>
      <c r="V12" s="12"/>
    </row>
    <row r="13" spans="13:22" x14ac:dyDescent="0.25">
      <c r="M13" s="12"/>
      <c r="N13" s="12"/>
      <c r="O13" s="12"/>
      <c r="P13" s="12"/>
      <c r="Q13" s="12"/>
      <c r="R13" s="12"/>
      <c r="S13" s="12"/>
      <c r="T13" s="12"/>
      <c r="U13" s="12"/>
      <c r="V13" s="12"/>
    </row>
    <row r="14" spans="13:22" ht="31.95" customHeight="1" x14ac:dyDescent="0.25">
      <c r="M14" s="12"/>
      <c r="N14" s="12"/>
      <c r="O14" s="12"/>
      <c r="P14" s="12"/>
      <c r="Q14" s="12"/>
      <c r="R14" s="12"/>
      <c r="S14" s="12"/>
      <c r="T14" s="12"/>
      <c r="U14" s="12"/>
      <c r="V14" s="12"/>
    </row>
    <row r="24" ht="25.95" customHeight="1" x14ac:dyDescent="0.25"/>
    <row r="26" ht="15.6" customHeight="1" x14ac:dyDescent="0.25"/>
    <row r="27" ht="13.2" customHeight="1" x14ac:dyDescent="0.25"/>
    <row r="28" ht="13.2" customHeight="1" x14ac:dyDescent="0.25"/>
    <row r="29" ht="13.2" customHeight="1" x14ac:dyDescent="0.25"/>
    <row r="30" ht="13.2" customHeight="1" x14ac:dyDescent="0.25"/>
    <row r="31" ht="13.2" customHeight="1" x14ac:dyDescent="0.25"/>
    <row r="32" ht="13.2" customHeight="1" x14ac:dyDescent="0.25"/>
    <row r="33" ht="13.2" customHeight="1" x14ac:dyDescent="0.25"/>
    <row r="34" ht="13.2" customHeight="1" x14ac:dyDescent="0.25"/>
  </sheetData>
  <mergeCells count="2">
    <mergeCell ref="M11:V14"/>
    <mergeCell ref="M2:V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3C192-C26F-4F5D-9B36-4F5BCD6E2AEF}">
  <dimension ref="O2"/>
  <sheetViews>
    <sheetView workbookViewId="0">
      <selection activeCell="O3" sqref="O3"/>
    </sheetView>
  </sheetViews>
  <sheetFormatPr defaultRowHeight="13.2" x14ac:dyDescent="0.25"/>
  <sheetData>
    <row r="2" spans="15:15" x14ac:dyDescent="0.25">
      <c r="O2" t="s">
        <v>388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B7D9-5B0F-4EDE-9573-0D6DC8B22D41}">
  <dimension ref="A54"/>
  <sheetViews>
    <sheetView topLeftCell="A33" workbookViewId="0">
      <selection activeCell="A55" sqref="A55"/>
    </sheetView>
  </sheetViews>
  <sheetFormatPr defaultRowHeight="13.2" x14ac:dyDescent="0.25"/>
  <sheetData>
    <row r="54" spans="1:1" x14ac:dyDescent="0.25">
      <c r="A54" t="s">
        <v>390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2911-9B38-4E26-8EAA-452198E0C43C}">
  <dimension ref="L3"/>
  <sheetViews>
    <sheetView workbookViewId="0">
      <selection activeCell="L3" sqref="L3"/>
    </sheetView>
  </sheetViews>
  <sheetFormatPr defaultRowHeight="13.2" x14ac:dyDescent="0.25"/>
  <sheetData>
    <row r="3" spans="12:12" x14ac:dyDescent="0.25">
      <c r="L3" t="s">
        <v>389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To_be_Merged_Stata</vt:lpstr>
      <vt:lpstr>ID_Log</vt:lpstr>
      <vt:lpstr>ID_LEGEND</vt:lpstr>
      <vt:lpstr>WHO Limit</vt:lpstr>
      <vt:lpstr>EPA Enforceable Limit</vt:lpstr>
      <vt:lpstr>EPA Secondary Limit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Xufeng</cp:lastModifiedBy>
  <cp:lastPrinted>2025-10-02T14:25:14Z</cp:lastPrinted>
  <dcterms:created xsi:type="dcterms:W3CDTF">2025-10-01T21:40:49Z</dcterms:created>
  <dcterms:modified xsi:type="dcterms:W3CDTF">2025-10-10T16:25:21Z</dcterms:modified>
</cp:coreProperties>
</file>